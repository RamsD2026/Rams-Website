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Progress Tracker" r:id="rId1" sheetId="1"/>
    <sheet name="How to use" r:id="rId2" sheetId="2"/>
    <sheet name="Dashboard" r:id="rId3" sheetId="3"/>
  </sheets>
</workbook>
</file>

<file path=xl/comments1.xml><?xml version="1.0" encoding="utf-8"?>
<comments xmlns="http://schemas.openxmlformats.org/spreadsheetml/2006/main">
  <authors>
    <author/>
  </authors>
  <commentList>
    <comment ref="D11" author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URLs</t>
      </text>
    </comment>
    <comment ref="E20" author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PPE detection in features
Reply:
    face authentication</t>
      </text>
    </comment>
  </commentList>
</comments>
</file>

<file path=xl/sharedStrings.xml><?xml version="1.0" encoding="utf-8"?>
<sst xmlns="http://schemas.openxmlformats.org/spreadsheetml/2006/main" count="327" uniqueCount="327">
  <si>
    <t>Ref</t>
  </si>
  <si>
    <t>Level</t>
  </si>
  <si>
    <t>Section</t>
  </si>
  <si>
    <t>Page Name</t>
  </si>
  <si>
    <t>URL</t>
  </si>
  <si>
    <t>Priority</t>
  </si>
  <si>
    <t>Content</t>
  </si>
  <si>
    <t>Design</t>
  </si>
  <si>
    <t>Development</t>
  </si>
  <si>
    <t>Review</t>
  </si>
  <si>
    <t>% Complete</t>
  </si>
  <si>
    <t>Owner</t>
  </si>
  <si>
    <t>Target Live Date</t>
  </si>
  <si>
    <t>Notes</t>
  </si>
  <si>
    <t>1.0</t>
  </si>
  <si>
    <t>Home</t>
  </si>
  <si>
    <t>/</t>
  </si>
  <si>
    <t>P1</t>
  </si>
  <si>
    <t>Not started</t>
  </si>
  <si>
    <t>Hero direction still open: real warehouse vs product-first UI.</t>
  </si>
  <si>
    <t>2.0</t>
  </si>
  <si>
    <t>Solutions</t>
  </si>
  <si>
    <t>Solutions Hub</t>
  </si>
  <si>
    <t>/solutions</t>
  </si>
  <si>
    <t>2.1</t>
  </si>
  <si>
    <t>Rack Safety and Intelligence</t>
  </si>
  <si>
    <t>/solutions/rack-intelligence</t>
  </si>
  <si>
    <t>P2</t>
  </si>
  <si>
    <t>Powered by IRDS.</t>
  </si>
  <si>
    <t>2.2</t>
  </si>
  <si>
    <t>MHE Safety and Productivity</t>
  </si>
  <si>
    <t>/solutions/mhe-intelligence</t>
  </si>
  <si>
    <t>Powered by MEPS and RTSS.</t>
  </si>
  <si>
    <t>2.3</t>
  </si>
  <si>
    <t>Inventory Intelligence</t>
  </si>
  <si>
    <t>/solutions/inventory-intelligence</t>
  </si>
  <si>
    <t>2.4</t>
  </si>
  <si>
    <t>Warehouse Execution</t>
  </si>
  <si>
    <t>/solutions/warehouse-execution</t>
  </si>
  <si>
    <t>Powered by ATOS.</t>
  </si>
  <si>
    <t>2.5</t>
  </si>
  <si>
    <t>MHE Diagnostics and Maintenance</t>
  </si>
  <si>
    <t>/solutions/mhe-diagnostics</t>
  </si>
  <si>
    <t>Powered by IMDS.</t>
  </si>
  <si>
    <t>2.6</t>
  </si>
  <si>
    <t>Management Intelligence</t>
  </si>
  <si>
    <t>/solutions/management-intelligence</t>
  </si>
  <si>
    <t>Powered by AIMS.</t>
  </si>
  <si>
    <t>3.0</t>
  </si>
  <si>
    <t>Platform</t>
  </si>
  <si>
    <t>Platform Hub</t>
  </si>
  <si>
    <t>/platform</t>
  </si>
  <si>
    <t>DIGITAL TWIN</t>
  </si>
  <si>
    <t>3.1</t>
  </si>
  <si>
    <t>MEPS</t>
  </si>
  <si>
    <t>/platform/overview</t>
  </si>
  <si>
    <t>P3</t>
  </si>
  <si>
    <t>3.3</t>
  </si>
  <si>
    <t>IRDS</t>
  </si>
  <si>
    <t>/platform/digital-twin</t>
  </si>
  <si>
    <t>3.4</t>
  </si>
  <si>
    <t>ATOS</t>
  </si>
  <si>
    <t>/platform/ai-operational-intelligence</t>
  </si>
  <si>
    <t>3.5</t>
  </si>
  <si>
    <t>RTSS</t>
  </si>
  <si>
    <t>/platform/execution-engine</t>
  </si>
  <si>
    <t>ATOS.</t>
  </si>
  <si>
    <t>3.6</t>
  </si>
  <si>
    <t>IMDS</t>
  </si>
  <si>
    <t>/platform/integrations</t>
  </si>
  <si>
    <t>WMS, ERP, CCTV, RFID, MHE, maintenance, APIs.</t>
  </si>
  <si>
    <t>3.7</t>
  </si>
  <si>
    <t>AIMS</t>
  </si>
  <si>
    <t>/platform/security</t>
  </si>
  <si>
    <t>Footer Security link points here.</t>
  </si>
  <si>
    <t>4.0</t>
  </si>
  <si>
    <t>Hardware</t>
  </si>
  <si>
    <t>Hardware Hub</t>
  </si>
  <si>
    <t>/hardware</t>
  </si>
  <si>
    <t>4.1</t>
  </si>
  <si>
    <t>AI Vision Camera System</t>
  </si>
  <si>
    <t>/hardware/ai-vision</t>
  </si>
  <si>
    <t>Standalone or platform connected.</t>
  </si>
  <si>
    <t>AI Vision Pro</t>
  </si>
  <si>
    <t>AI Vision Ultra</t>
  </si>
  <si>
    <t>AI Vision Max</t>
  </si>
  <si>
    <t>4.2</t>
  </si>
  <si>
    <t>OmniBox Edge Processors</t>
  </si>
  <si>
    <t>/hardware/omnibox</t>
  </si>
  <si>
    <t>Four roles: Edge, AI, Motion, Core.</t>
  </si>
  <si>
    <t>OmniBox Edge</t>
  </si>
  <si>
    <t>OmniBox AI</t>
  </si>
  <si>
    <t>OmniBox Motion</t>
  </si>
  <si>
    <t>OmniBox Core</t>
  </si>
  <si>
    <t>4.3</t>
  </si>
  <si>
    <t>RTLS and Location Intelligence</t>
  </si>
  <si>
    <t>/hardware/rtls</t>
  </si>
  <si>
    <t>LiDAR-first. Needs a Pilot Stage badge.</t>
  </si>
  <si>
    <t>LiDAR</t>
  </si>
  <si>
    <t>Wifi</t>
  </si>
  <si>
    <t>Bluetooth</t>
  </si>
  <si>
    <t>UWB</t>
  </si>
  <si>
    <t>4.4</t>
  </si>
  <si>
    <t>Sensor Stack</t>
  </si>
  <si>
    <t>/hardware/sensor-stack</t>
  </si>
  <si>
    <t>Covers all four sensors. Not separate pages.</t>
  </si>
  <si>
    <t>Access Control</t>
  </si>
  <si>
    <t>Crash Monitoring System</t>
  </si>
  <si>
    <t>Speed Monitoring System</t>
  </si>
  <si>
    <t>Location Monitoring System</t>
  </si>
  <si>
    <t>Pallet Detection Sensor</t>
  </si>
  <si>
    <t>Battery Management System</t>
  </si>
  <si>
    <t>4.6</t>
  </si>
  <si>
    <t>Guided Inspection Systems</t>
  </si>
  <si>
    <t>Coming Soon</t>
  </si>
  <si>
    <t>URL TBC</t>
  </si>
  <si>
    <t>BLOCKED. AirScan and FloorScan have no nav placement or URL yet.</t>
  </si>
  <si>
    <t>AirScan</t>
  </si>
  <si>
    <t>Floor Scan</t>
  </si>
  <si>
    <t>5.0</t>
  </si>
  <si>
    <t>Services</t>
  </si>
  <si>
    <t>Services Hub</t>
  </si>
  <si>
    <t>/services</t>
  </si>
  <si>
    <t>5.1</t>
  </si>
  <si>
    <t>Rack Inspection Services</t>
  </si>
  <si>
    <t>/services/rack-inspection</t>
  </si>
  <si>
    <t>Most requested service.</t>
  </si>
  <si>
    <t>5.2</t>
  </si>
  <si>
    <t>Structural Verification</t>
  </si>
  <si>
    <t>/services/structural-verification</t>
  </si>
  <si>
    <t>5.3</t>
  </si>
  <si>
    <t>Inventory Reconciliation and Audit</t>
  </si>
  <si>
    <t>/services/inventory-audit</t>
  </si>
  <si>
    <t>5.4</t>
  </si>
  <si>
    <t>MHE Productivity Assessment</t>
  </si>
  <si>
    <t>/services/mhe-productivity-assessment</t>
  </si>
  <si>
    <t>5.5</t>
  </si>
  <si>
    <t>Safety and Operational Assessment</t>
  </si>
  <si>
    <t>/services/operational-assessment</t>
  </si>
  <si>
    <t>5.6</t>
  </si>
  <si>
    <t>Deployment and Support</t>
  </si>
  <si>
    <t>/services/deployment-support</t>
  </si>
  <si>
    <t>6.0</t>
  </si>
  <si>
    <t>Industries</t>
  </si>
  <si>
    <t>/industries</t>
  </si>
  <si>
    <t>6.1</t>
  </si>
  <si>
    <t>Warehousing and Distribution</t>
  </si>
  <si>
    <t>/industries/warehousing-distribution</t>
  </si>
  <si>
    <t>URL proposed.</t>
  </si>
  <si>
    <t>6.2</t>
  </si>
  <si>
    <t>Third-Party Logistics (3PL)</t>
  </si>
  <si>
    <t>/industries/third-party-logistics</t>
  </si>
  <si>
    <t>6.3</t>
  </si>
  <si>
    <t>E-commerce</t>
  </si>
  <si>
    <t>/industries/ecommerce-fulfilment</t>
  </si>
  <si>
    <t>6.4</t>
  </si>
  <si>
    <t>Cold Storage</t>
  </si>
  <si>
    <t>/industries/cold-storage</t>
  </si>
  <si>
    <t>6.5</t>
  </si>
  <si>
    <t>Manufacturing</t>
  </si>
  <si>
    <t>/industries/manufacturing</t>
  </si>
  <si>
    <t>6.6</t>
  </si>
  <si>
    <t>Automotive</t>
  </si>
  <si>
    <t>/industries/automotive</t>
  </si>
  <si>
    <t>6.7</t>
  </si>
  <si>
    <t>FMCG</t>
  </si>
  <si>
    <t>/industries/fmcg</t>
  </si>
  <si>
    <t>6.8</t>
  </si>
  <si>
    <t>Food and Beverage</t>
  </si>
  <si>
    <t>/industries/food-beverage</t>
  </si>
  <si>
    <t>6.9</t>
  </si>
  <si>
    <t>Pharmaceuticals</t>
  </si>
  <si>
    <t>/industries/pharmaceuticals</t>
  </si>
  <si>
    <t>Retail</t>
  </si>
  <si>
    <t>Chemical</t>
  </si>
  <si>
    <t>Aviation Logistics</t>
  </si>
  <si>
    <t>Heavy Equipment</t>
  </si>
  <si>
    <t>Industrial Machinery</t>
  </si>
  <si>
    <t>Industrial Tech</t>
  </si>
  <si>
    <t>Renewable Energy</t>
  </si>
  <si>
    <t>Building Materials</t>
  </si>
  <si>
    <t>Fashion Retail</t>
  </si>
  <si>
    <t>Health Care</t>
  </si>
  <si>
    <t>7.0</t>
  </si>
  <si>
    <t>Resources</t>
  </si>
  <si>
    <t>Resources Hub</t>
  </si>
  <si>
    <t>/resources</t>
  </si>
  <si>
    <t>7.1</t>
  </si>
  <si>
    <t>Case Studies</t>
  </si>
  <si>
    <t>/resources/case-studies</t>
  </si>
  <si>
    <t>7.2</t>
  </si>
  <si>
    <t>News Room</t>
  </si>
  <si>
    <t>/resources/insights</t>
  </si>
  <si>
    <t>7.3</t>
  </si>
  <si>
    <t>Videos</t>
  </si>
  <si>
    <t>/resources/videos</t>
  </si>
  <si>
    <t>7.4</t>
  </si>
  <si>
    <t>Glossary (Industry Compliance Guides)</t>
  </si>
  <si>
    <t>/resources/compliance-guides</t>
  </si>
  <si>
    <t>7.5</t>
  </si>
  <si>
    <t>White Papers</t>
  </si>
  <si>
    <t>/resources/white-papers</t>
  </si>
  <si>
    <t>7.6</t>
  </si>
  <si>
    <t>Technical Notes</t>
  </si>
  <si>
    <t>/resources/technical-notes</t>
  </si>
  <si>
    <t>7.7</t>
  </si>
  <si>
    <t xml:space="preserve">Downloads </t>
  </si>
  <si>
    <t>/resources/downloads</t>
  </si>
  <si>
    <t>7.8</t>
  </si>
  <si>
    <t>Frequently Asked Questions (FAQs)</t>
  </si>
  <si>
    <t>/resources/faqs</t>
  </si>
  <si>
    <t>Events</t>
  </si>
  <si>
    <t>Blogs</t>
  </si>
  <si>
    <t>Industry Reports</t>
  </si>
  <si>
    <t>8.0</t>
  </si>
  <si>
    <t>Company</t>
  </si>
  <si>
    <t>Company Hub</t>
  </si>
  <si>
    <t>/company</t>
  </si>
  <si>
    <t>8.1</t>
  </si>
  <si>
    <t>About RAMS</t>
  </si>
  <si>
    <t>/company/about</t>
  </si>
  <si>
    <t>8.2</t>
  </si>
  <si>
    <t>Leadership</t>
  </si>
  <si>
    <t>/company/leadership</t>
  </si>
  <si>
    <t>8.3</t>
  </si>
  <si>
    <t>Customers</t>
  </si>
  <si>
    <t>/company/customers</t>
  </si>
  <si>
    <t>8.4</t>
  </si>
  <si>
    <t>Certifications and Security</t>
  </si>
  <si>
    <t>/company/certifications</t>
  </si>
  <si>
    <t>8.5</t>
  </si>
  <si>
    <t>Partners</t>
  </si>
  <si>
    <t>/company/partners</t>
  </si>
  <si>
    <t>8.6</t>
  </si>
  <si>
    <t>Careers</t>
  </si>
  <si>
    <t>/company/careers</t>
  </si>
  <si>
    <t>8.7</t>
  </si>
  <si>
    <t>Contact Us</t>
  </si>
  <si>
    <t>/company/contact</t>
  </si>
  <si>
    <t>Global Impact</t>
  </si>
  <si>
    <t>Awards &amp; Recognition</t>
  </si>
  <si>
    <t>Accessibilty</t>
  </si>
  <si>
    <t>10.1</t>
  </si>
  <si>
    <t>Conversion</t>
  </si>
  <si>
    <t>Find Your Starting Point</t>
  </si>
  <si>
    <t>CTA</t>
  </si>
  <si>
    <t>/find-your-starting-point</t>
  </si>
  <si>
    <t>Three-step guided selector.</t>
  </si>
  <si>
    <t>10.2</t>
  </si>
  <si>
    <t>Book a Demo</t>
  </si>
  <si>
    <t>/book-a-demo</t>
  </si>
  <si>
    <t>Keep the form short.</t>
  </si>
  <si>
    <t>10.3</t>
  </si>
  <si>
    <t>Platform Login</t>
  </si>
  <si>
    <t>for Dashboard</t>
  </si>
  <si>
    <t>External</t>
  </si>
  <si>
    <t>Visually secondary to the CTAs.</t>
  </si>
  <si>
    <t>11.1</t>
  </si>
  <si>
    <t>Footer</t>
  </si>
  <si>
    <t>Privacy Policy</t>
  </si>
  <si>
    <t>/privacy-policy</t>
  </si>
  <si>
    <t>Legal review required.</t>
  </si>
  <si>
    <t>11.2</t>
  </si>
  <si>
    <t>Terms of Use</t>
  </si>
  <si>
    <t>/terms-of-use</t>
  </si>
  <si>
    <t>11.3</t>
  </si>
  <si>
    <t>Cookie Policy</t>
  </si>
  <si>
    <t>/cookie-policy</t>
  </si>
  <si>
    <t>11.4</t>
  </si>
  <si>
    <t>Responsible AI Statement</t>
  </si>
  <si>
    <t>/responsible-ai</t>
  </si>
  <si>
    <t>Social media icons</t>
  </si>
  <si>
    <t>Help</t>
  </si>
  <si>
    <t xml:space="preserve">About Us </t>
  </si>
  <si>
    <t>Short</t>
  </si>
  <si>
    <t xml:space="preserve">Email ID </t>
  </si>
  <si>
    <t>connect@rams.digital</t>
  </si>
  <si>
    <t xml:space="preserve">Phone no. </t>
  </si>
  <si>
    <t>Marketing</t>
  </si>
  <si>
    <t>Site Map</t>
  </si>
  <si>
    <t>WhatsApp Business Chat</t>
  </si>
  <si>
    <t>Chat Bot</t>
  </si>
  <si>
    <t>How to use this tracker</t>
  </si>
  <si>
    <t>What you update</t>
  </si>
  <si>
    <t>Content, Design, Development, Review</t>
  </si>
  <si>
    <t>Four dropdowns per page: Not started, In progress, Blocked, Complete. These are the only cells you normally change.</t>
  </si>
  <si>
    <t>Who is accountable for that page.</t>
  </si>
  <si>
    <t>Planned publication date.</t>
  </si>
  <si>
    <t>P1 launch, P2 phase two, P3 later. Dropdown.</t>
  </si>
  <si>
    <t>What calculates itself</t>
  </si>
  <si>
    <t>Counts how many of the four stages say Complete, divided by four. One stage done shows 25 percent, all four shows 100 percent. Do not type over it.</t>
  </si>
  <si>
    <t>Dashboard tab</t>
  </si>
  <si>
    <t>Every number reads from the tracker. Change a dropdown and the dashboard moves.</t>
  </si>
  <si>
    <t>Colours</t>
  </si>
  <si>
    <t>Green</t>
  </si>
  <si>
    <t>Complete.</t>
  </si>
  <si>
    <t>Amber</t>
  </si>
  <si>
    <t>In progress.</t>
  </si>
  <si>
    <t>Red</t>
  </si>
  <si>
    <t>Blocked.</t>
  </si>
  <si>
    <t>Orange row</t>
  </si>
  <si>
    <t>A page with an unresolved structural decision.</t>
  </si>
  <si>
    <t>Grey bold row</t>
  </si>
  <si>
    <t>A top-level tab or hub page.</t>
  </si>
  <si>
    <t>Open decision</t>
  </si>
  <si>
    <t>AirScan and FloorScan have no navigation placement and no URL. Resolve before the Hardware section can be finished.</t>
  </si>
  <si>
    <t>RAMS 2.0 Website - Build Progress</t>
  </si>
  <si>
    <t>Every figure is a live formula. Update the Progress Tracker tab and this recalculates.</t>
  </si>
  <si>
    <t>Overall completion</t>
  </si>
  <si>
    <t>Total pages</t>
  </si>
  <si>
    <t>Pages fully complete</t>
  </si>
  <si>
    <t>Pages started but not finished</t>
  </si>
  <si>
    <t>Pages not started</t>
  </si>
  <si>
    <t>Overall site progress</t>
  </si>
  <si>
    <t>Progress by stage</t>
  </si>
  <si>
    <t>Stage</t>
  </si>
  <si>
    <t>Complete</t>
  </si>
  <si>
    <t>In progress</t>
  </si>
  <si>
    <t>Blocked</t>
  </si>
  <si>
    <t>Progress by section</t>
  </si>
  <si>
    <t>Pages</t>
  </si>
  <si>
    <t>Progress</t>
  </si>
  <si>
    <t>Campaign</t>
  </si>
  <si>
    <t>Progress by priority</t>
  </si>
  <si>
    <t>Blockers</t>
  </si>
  <si>
    <t>Stages currently marked Blocked</t>
  </si>
  <si>
    <t>Known open decision: Guided Inspection has no nav placement or URL.</t>
  </si>
</sst>
</file>

<file path=xl/styles.xml><?xml version="1.0" encoding="utf-8"?>
<styleSheet xmlns="http://schemas.openxmlformats.org/spreadsheetml/2006/main">
  <numFmts count="2">
    <numFmt formatCode="#0%" numFmtId="164"/>
    <numFmt formatCode="#0.0%" numFmtId="165"/>
  </numFmts>
  <fonts count="13">
    <font>
      <sz val="11"/>
      <color theme="1"/>
      <name val="Calibri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0"/>
      <name val="Calibri"/>
    </font>
    <font>
      <b/>
      <sz val="14"/>
      <color rgb="FF1B2A41"/>
      <name val="Arial"/>
    </font>
    <font>
      <sz val="10"/>
      <name val="Arial"/>
    </font>
    <font>
      <b/>
      <sz val="10"/>
      <color rgb="FF1B2A41"/>
      <name val="Arial"/>
    </font>
    <font>
      <b/>
      <sz val="15"/>
      <color rgb="FF1B2A41"/>
      <name val="Arial"/>
    </font>
    <font>
      <i/>
      <sz val="10"/>
      <color rgb="FF667085"/>
      <name val="Arial"/>
    </font>
    <font>
      <b/>
      <sz val="12"/>
      <color rgb="FF1B2A41"/>
      <name val="Arial"/>
    </font>
    <font>
      <b/>
      <sz val="14"/>
      <color rgb="FFF26B1D"/>
      <name val="Arial"/>
    </font>
  </fonts>
  <fills count="5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2F4F7"/>
        <bgColor rgb="FFFFFFFF"/>
      </patternFill>
    </fill>
    <fill>
      <patternFill patternType="solid">
        <fgColor rgb="FFFFE9D6"/>
        <bgColor rgb="FFFEE4E2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</borders>
  <cellStyleXfs count="1">
    <xf borderId="0" fillId="0" fontId="0" numFmtId="0" xfId="0">
      <alignment vertical="bottom"/>
    </xf>
  </cellStyleXfs>
  <cellXfs count="30">
    <xf borderId="0" fillId="0" fontId="0" numFmtId="0" xfId="0">
      <alignment vertical="bottom"/>
    </xf>
    <xf borderId="0" fillId="2" fontId="1" numFmtId="0" xfId="0">
      <alignment horizontal="center" vertical="center" wrapText="1"/>
    </xf>
    <xf borderId="1" fillId="3" fontId="2" numFmtId="0" xfId="0">
      <alignment horizontal="left" vertical="center"/>
    </xf>
    <xf borderId="1" fillId="3" fontId="2" numFmtId="0" xfId="0">
      <alignment horizontal="center" vertical="center"/>
    </xf>
    <xf borderId="1" fillId="3" fontId="2" numFmtId="164" xfId="0">
      <alignment horizontal="center" vertical="center"/>
    </xf>
    <xf borderId="1" fillId="3" fontId="2" numFmtId="0" xfId="0">
      <alignment horizontal="left" vertical="center" wrapText="1"/>
    </xf>
    <xf borderId="1" fillId="0" fontId="3" numFmtId="0" xfId="0">
      <alignment horizontal="left" vertical="center"/>
    </xf>
    <xf borderId="1" fillId="0" fontId="3" numFmtId="0" xfId="0">
      <alignment horizontal="center" vertical="center"/>
    </xf>
    <xf borderId="1" fillId="0" fontId="3" numFmtId="164" xfId="0">
      <alignment horizontal="center" vertical="center"/>
    </xf>
    <xf borderId="1" fillId="0" fontId="3" numFmtId="0" xfId="0">
      <alignment horizontal="left" vertical="center" wrapText="1"/>
    </xf>
    <xf borderId="1" fillId="4" fontId="3" numFmtId="0" xfId="0">
      <alignment horizontal="left" vertical="center"/>
    </xf>
    <xf borderId="1" fillId="4" fontId="3" numFmtId="0" xfId="0">
      <alignment horizontal="center" vertical="center"/>
    </xf>
    <xf borderId="1" fillId="4" fontId="3" numFmtId="164" xfId="0">
      <alignment horizontal="center" vertical="center"/>
    </xf>
    <xf borderId="1" fillId="4" fontId="3" numFmtId="0" xfId="0">
      <alignment horizontal="left" vertical="center" wrapText="1"/>
    </xf>
    <xf borderId="2" fillId="0" fontId="3" numFmtId="0" xfId="0">
      <alignment horizontal="left" vertical="center"/>
    </xf>
    <xf borderId="2" fillId="3" fontId="2" numFmtId="0" xfId="0">
      <alignment horizontal="left" vertical="center"/>
    </xf>
    <xf borderId="0" fillId="0" fontId="4" numFmtId="0" xfId="0">
      <alignment vertical="bottom"/>
    </xf>
    <xf borderId="0" fillId="0" fontId="5" numFmtId="0" xfId="0">
      <alignment vertical="bottom"/>
    </xf>
    <xf borderId="0" fillId="0" fontId="6" numFmtId="0" xfId="0">
      <alignment vertical="bottom"/>
    </xf>
    <xf borderId="0" fillId="0" fontId="7" numFmtId="0" xfId="0">
      <alignment vertical="top" wrapText="1"/>
    </xf>
    <xf borderId="0" fillId="0" fontId="3" numFmtId="0" xfId="0">
      <alignment vertical="top" wrapText="1"/>
    </xf>
    <xf borderId="0" fillId="0" fontId="8" numFmtId="0" xfId="0">
      <alignment vertical="top" wrapText="1"/>
    </xf>
    <xf borderId="0" fillId="0" fontId="9" numFmtId="0" xfId="0">
      <alignment vertical="center"/>
    </xf>
    <xf borderId="0" fillId="0" fontId="4" numFmtId="0" xfId="0">
      <alignment vertical="center"/>
    </xf>
    <xf borderId="0" fillId="0" fontId="10" numFmtId="0" xfId="0">
      <alignment vertical="center"/>
    </xf>
    <xf borderId="0" fillId="0" fontId="11" numFmtId="0" xfId="0">
      <alignment vertical="center"/>
    </xf>
    <xf borderId="0" fillId="0" fontId="3" numFmtId="0" xfId="0">
      <alignment vertical="center"/>
    </xf>
    <xf borderId="0" fillId="0" fontId="12" numFmtId="165" xfId="0">
      <alignment vertical="center"/>
    </xf>
    <xf borderId="0" fillId="0" fontId="2" numFmtId="0" xfId="0">
      <alignment vertical="center"/>
    </xf>
    <xf borderId="0" fillId="0" fontId="3" numFmtId="164" xfId="0">
      <alignment vertical="center"/>
    </xf>
  </cellXfs>
  <cellStyles count="1">
    <cellStyle name="Normal" xfId="0" builtinId="0" customBuiltin="1"/>
  </cellStyles>
  <dxfs count="3">
    <dxf>
      <font>
        <color rgb="FF027A48"/>
      </font>
      <fill>
        <patternFill patternType="solid">
          <fgColor rgb="FFD1FADF"/>
          <bgColor rgb="FFD1FADF"/>
        </patternFill>
      </fill>
    </dxf>
    <dxf>
      <font>
        <color rgb="FFB54708"/>
      </font>
      <fill>
        <patternFill patternType="solid">
          <fgColor rgb="FFFEF0C7"/>
          <bgColor rgb="FFFEF0C7"/>
        </patternFill>
      </fill>
    </dxf>
    <dxf>
      <font>
        <color rgb="FFB42318"/>
      </font>
      <fill>
        <patternFill patternType="solid">
          <fgColor rgb="FFFEE4E2"/>
          <bgColor rgb="FFFEE4E2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Relationship Target="theme/theme1.xml" Id="rId6" Type="http://schemas.openxmlformats.org/officeDocument/2006/relationships/theme"/></Relationships>
</file>

<file path=xl/drawings/vmlDrawing1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3</x:Column>
    </x:ClientData>
  </v:shape>
  <v:shape id="shape_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19</x:Row>
      <x:Column>4</x:Column>
    </x:ClientData>
  </v:shape>
</xml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connect@rams.digital" TargetMode="External"/><Relationship Target="../comments1.xml" Id="rId2" Type="http://schemas.openxmlformats.org/officeDocument/2006/relationships/comments"/><Relationship Target="../drawings/vmlDrawing1.xml" Id="rId3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P108"/>
  <sheetViews>
    <sheetView workbookViewId="0">
      <pane xSplit="3" ySplit="1" topLeftCell="D2" state="frozen"/>
    </sheetView>
  </sheetViews>
  <sheetFormatPr defaultRowHeight="15.0" customHeight="1"/>
  <cols>
    <col min="1" max="1" width="7.02"/>
    <col min="2" max="2" width="7.02"/>
    <col min="3" max="3" width="12.98"/>
    <col min="4" max="5" width="36.03"/>
    <col min="6" max="6" width="40.01"/>
    <col min="7" max="7" width="9.0"/>
    <col min="8" max="9" width="12.98"/>
    <col min="10" max="10" width="14.04"/>
    <col min="11" max="12" width="12.05"/>
    <col min="13" max="13" width="16.03"/>
    <col min="14" max="14" width="14.97"/>
    <col min="15" max="15" width="51.93"/>
    <col min="16" max="2048" width="8.61"/>
  </cols>
  <sheetData>
    <row r="1" customHeight="1" ht="30.0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 t="s">
        <v>14</v>
      </c>
      <c r="B2" s="3">
        <v>0.0</v>
      </c>
      <c r="C2" s="2" t="s">
        <v>15</v>
      </c>
      <c r="D2" s="2" t="s">
        <v>15</v>
      </c>
      <c r="E2" s="2"/>
      <c r="F2" s="2" t="s">
        <v>16</v>
      </c>
      <c r="G2" s="3" t="s">
        <v>17</v>
      </c>
      <c r="H2" s="3" t="s">
        <v>18</v>
      </c>
      <c r="I2" s="3" t="s">
        <v>18</v>
      </c>
      <c r="J2" s="3" t="s">
        <v>18</v>
      </c>
      <c r="K2" s="3" t="s">
        <v>18</v>
      </c>
      <c r="L2" s="4">
        <f t="shared" ref="L2:L10" si="0">COUNTIF(H2:K2,"Complete")/4</f>
        <v>0.0</v>
      </c>
      <c r="M2" s="2"/>
      <c r="N2" s="2"/>
      <c r="O2" s="5" t="s">
        <v>19</v>
      </c>
    </row>
    <row r="3">
      <c r="A3" s="2" t="s">
        <v>20</v>
      </c>
      <c r="B3" s="3">
        <v>1.0</v>
      </c>
      <c r="C3" s="2" t="s">
        <v>21</v>
      </c>
      <c r="D3" s="2" t="s">
        <v>22</v>
      </c>
      <c r="E3" s="2"/>
      <c r="F3" s="2" t="s">
        <v>23</v>
      </c>
      <c r="G3" s="3" t="s">
        <v>17</v>
      </c>
      <c r="H3" s="3" t="s">
        <v>18</v>
      </c>
      <c r="I3" s="3" t="s">
        <v>18</v>
      </c>
      <c r="J3" s="3" t="s">
        <v>18</v>
      </c>
      <c r="K3" s="3" t="s">
        <v>18</v>
      </c>
      <c r="L3" s="4">
        <f t="shared" si="0"/>
        <v>0.0</v>
      </c>
      <c r="M3" s="2"/>
      <c r="N3" s="2"/>
      <c r="O3" s="5"/>
    </row>
    <row r="4">
      <c r="A4" s="6" t="s">
        <v>24</v>
      </c>
      <c r="B4" s="7">
        <v>2.0</v>
      </c>
      <c r="C4" s="6" t="s">
        <v>21</v>
      </c>
      <c r="D4" s="6" t="s">
        <v>25</v>
      </c>
      <c r="E4" s="6"/>
      <c r="F4" s="6" t="s">
        <v>26</v>
      </c>
      <c r="G4" s="7" t="s">
        <v>27</v>
      </c>
      <c r="H4" s="7" t="s">
        <v>18</v>
      </c>
      <c r="I4" s="7" t="s">
        <v>18</v>
      </c>
      <c r="J4" s="7" t="s">
        <v>18</v>
      </c>
      <c r="K4" s="7" t="s">
        <v>18</v>
      </c>
      <c r="L4" s="8">
        <f t="shared" si="0"/>
        <v>0.0</v>
      </c>
      <c r="M4" s="6"/>
      <c r="N4" s="6"/>
      <c r="O4" s="9" t="s">
        <v>28</v>
      </c>
    </row>
    <row r="5">
      <c r="A5" s="6" t="s">
        <v>29</v>
      </c>
      <c r="B5" s="7">
        <v>2.0</v>
      </c>
      <c r="C5" s="6" t="s">
        <v>21</v>
      </c>
      <c r="D5" s="6" t="s">
        <v>30</v>
      </c>
      <c r="E5" s="6"/>
      <c r="F5" s="6" t="s">
        <v>31</v>
      </c>
      <c r="G5" s="7" t="s">
        <v>27</v>
      </c>
      <c r="H5" s="7" t="s">
        <v>18</v>
      </c>
      <c r="I5" s="7" t="s">
        <v>18</v>
      </c>
      <c r="J5" s="7" t="s">
        <v>18</v>
      </c>
      <c r="K5" s="7" t="s">
        <v>18</v>
      </c>
      <c r="L5" s="8">
        <f t="shared" si="0"/>
        <v>0.0</v>
      </c>
      <c r="M5" s="6"/>
      <c r="N5" s="6"/>
      <c r="O5" s="9" t="s">
        <v>32</v>
      </c>
    </row>
    <row r="6">
      <c r="A6" s="6" t="s">
        <v>33</v>
      </c>
      <c r="B6" s="7">
        <v>2.0</v>
      </c>
      <c r="C6" s="6" t="s">
        <v>21</v>
      </c>
      <c r="D6" s="6" t="s">
        <v>34</v>
      </c>
      <c r="E6" s="6"/>
      <c r="F6" s="6" t="s">
        <v>35</v>
      </c>
      <c r="G6" s="7" t="s">
        <v>27</v>
      </c>
      <c r="H6" s="7" t="s">
        <v>18</v>
      </c>
      <c r="I6" s="7" t="s">
        <v>18</v>
      </c>
      <c r="J6" s="7" t="s">
        <v>18</v>
      </c>
      <c r="K6" s="7" t="s">
        <v>18</v>
      </c>
      <c r="L6" s="8">
        <f t="shared" si="0"/>
        <v>0.0</v>
      </c>
      <c r="M6" s="6"/>
      <c r="N6" s="6"/>
      <c r="O6" s="9"/>
    </row>
    <row r="7">
      <c r="A7" s="6" t="s">
        <v>36</v>
      </c>
      <c r="B7" s="7">
        <v>2.0</v>
      </c>
      <c r="C7" s="6" t="s">
        <v>21</v>
      </c>
      <c r="D7" s="6" t="s">
        <v>37</v>
      </c>
      <c r="E7" s="6"/>
      <c r="F7" s="6" t="s">
        <v>38</v>
      </c>
      <c r="G7" s="7" t="s">
        <v>27</v>
      </c>
      <c r="H7" s="7" t="s">
        <v>18</v>
      </c>
      <c r="I7" s="7" t="s">
        <v>18</v>
      </c>
      <c r="J7" s="7" t="s">
        <v>18</v>
      </c>
      <c r="K7" s="7" t="s">
        <v>18</v>
      </c>
      <c r="L7" s="8">
        <f t="shared" si="0"/>
        <v>0.0</v>
      </c>
      <c r="M7" s="6"/>
      <c r="N7" s="6"/>
      <c r="O7" s="9" t="s">
        <v>39</v>
      </c>
    </row>
    <row r="8">
      <c r="A8" s="6" t="s">
        <v>40</v>
      </c>
      <c r="B8" s="7">
        <v>2.0</v>
      </c>
      <c r="C8" s="6" t="s">
        <v>21</v>
      </c>
      <c r="D8" s="6" t="s">
        <v>41</v>
      </c>
      <c r="E8" s="6"/>
      <c r="F8" s="6" t="s">
        <v>42</v>
      </c>
      <c r="G8" s="7" t="s">
        <v>27</v>
      </c>
      <c r="H8" s="7" t="s">
        <v>18</v>
      </c>
      <c r="I8" s="7" t="s">
        <v>18</v>
      </c>
      <c r="J8" s="7" t="s">
        <v>18</v>
      </c>
      <c r="K8" s="7" t="s">
        <v>18</v>
      </c>
      <c r="L8" s="8">
        <f t="shared" si="0"/>
        <v>0.0</v>
      </c>
      <c r="M8" s="6"/>
      <c r="N8" s="6"/>
      <c r="O8" s="9" t="s">
        <v>43</v>
      </c>
    </row>
    <row r="9">
      <c r="A9" s="6" t="s">
        <v>44</v>
      </c>
      <c r="B9" s="7">
        <v>2.0</v>
      </c>
      <c r="C9" s="6" t="s">
        <v>21</v>
      </c>
      <c r="D9" s="6" t="s">
        <v>45</v>
      </c>
      <c r="E9" s="6"/>
      <c r="F9" s="6" t="s">
        <v>46</v>
      </c>
      <c r="G9" s="7" t="s">
        <v>27</v>
      </c>
      <c r="H9" s="7" t="s">
        <v>18</v>
      </c>
      <c r="I9" s="7" t="s">
        <v>18</v>
      </c>
      <c r="J9" s="7" t="s">
        <v>18</v>
      </c>
      <c r="K9" s="7" t="s">
        <v>18</v>
      </c>
      <c r="L9" s="8">
        <f t="shared" si="0"/>
        <v>0.0</v>
      </c>
      <c r="M9" s="6"/>
      <c r="N9" s="6"/>
      <c r="O9" s="9" t="s">
        <v>47</v>
      </c>
    </row>
    <row r="10">
      <c r="A10" s="2" t="s">
        <v>48</v>
      </c>
      <c r="B10" s="3">
        <v>1.0</v>
      </c>
      <c r="C10" s="2" t="s">
        <v>49</v>
      </c>
      <c r="D10" s="2" t="s">
        <v>50</v>
      </c>
      <c r="E10" s="2"/>
      <c r="F10" s="2" t="s">
        <v>51</v>
      </c>
      <c r="G10" s="3" t="s">
        <v>27</v>
      </c>
      <c r="H10" s="3" t="s">
        <v>18</v>
      </c>
      <c r="I10" s="3" t="s">
        <v>18</v>
      </c>
      <c r="J10" s="3" t="s">
        <v>18</v>
      </c>
      <c r="K10" s="3" t="s">
        <v>18</v>
      </c>
      <c r="L10" s="4">
        <f t="shared" si="0"/>
        <v>0.0</v>
      </c>
      <c r="M10" s="2"/>
      <c r="N10" s="2"/>
      <c r="O10" s="5"/>
    </row>
    <row r="11">
      <c r="A11" s="2"/>
      <c r="B11" s="3"/>
      <c r="C11" s="2"/>
      <c r="D11" s="2" t="s">
        <v>52</v>
      </c>
      <c r="E11" s="2"/>
      <c r="F11" s="2"/>
      <c r="G11" s="3"/>
      <c r="H11" s="3"/>
      <c r="I11" s="3"/>
      <c r="J11" s="3"/>
      <c r="K11" s="3"/>
      <c r="L11" s="4"/>
      <c r="M11" s="2"/>
      <c r="N11" s="2"/>
      <c r="O11" s="5"/>
    </row>
    <row r="12">
      <c r="A12" s="6" t="s">
        <v>53</v>
      </c>
      <c r="B12" s="7">
        <v>2.0</v>
      </c>
      <c r="C12" s="6" t="s">
        <v>49</v>
      </c>
      <c r="D12" s="6" t="s">
        <v>54</v>
      </c>
      <c r="E12" s="6"/>
      <c r="F12" s="6" t="s">
        <v>55</v>
      </c>
      <c r="G12" s="7" t="s">
        <v>56</v>
      </c>
      <c r="H12" s="7" t="s">
        <v>18</v>
      </c>
      <c r="I12" s="7" t="s">
        <v>18</v>
      </c>
      <c r="J12" s="7" t="s">
        <v>18</v>
      </c>
      <c r="K12" s="7" t="s">
        <v>18</v>
      </c>
      <c r="L12" s="8">
        <f t="shared" ref="L12:L19" si="1">COUNTIF(H12:K12,"Complete")/4</f>
        <v>0.0</v>
      </c>
      <c r="M12" s="6"/>
      <c r="N12" s="6"/>
      <c r="O12" s="9"/>
    </row>
    <row r="13">
      <c r="A13" s="6" t="s">
        <v>57</v>
      </c>
      <c r="B13" s="7">
        <v>2.0</v>
      </c>
      <c r="C13" s="6" t="s">
        <v>49</v>
      </c>
      <c r="D13" s="6" t="s">
        <v>58</v>
      </c>
      <c r="E13" s="6"/>
      <c r="F13" s="6" t="s">
        <v>59</v>
      </c>
      <c r="G13" s="7" t="s">
        <v>56</v>
      </c>
      <c r="H13" s="7" t="s">
        <v>18</v>
      </c>
      <c r="I13" s="7" t="s">
        <v>18</v>
      </c>
      <c r="J13" s="7" t="s">
        <v>18</v>
      </c>
      <c r="K13" s="7" t="s">
        <v>18</v>
      </c>
      <c r="L13" s="8">
        <f t="shared" si="1"/>
        <v>0.0</v>
      </c>
      <c r="M13" s="6"/>
      <c r="N13" s="6"/>
      <c r="O13" s="9"/>
    </row>
    <row r="14">
      <c r="A14" s="6" t="s">
        <v>60</v>
      </c>
      <c r="B14" s="7">
        <v>2.0</v>
      </c>
      <c r="C14" s="6" t="s">
        <v>49</v>
      </c>
      <c r="D14" s="6" t="s">
        <v>61</v>
      </c>
      <c r="E14" s="6"/>
      <c r="F14" s="6" t="s">
        <v>62</v>
      </c>
      <c r="G14" s="7" t="s">
        <v>56</v>
      </c>
      <c r="H14" s="7" t="s">
        <v>18</v>
      </c>
      <c r="I14" s="7" t="s">
        <v>18</v>
      </c>
      <c r="J14" s="7" t="s">
        <v>18</v>
      </c>
      <c r="K14" s="7" t="s">
        <v>18</v>
      </c>
      <c r="L14" s="8">
        <f t="shared" si="1"/>
        <v>0.0</v>
      </c>
      <c r="M14" s="6"/>
      <c r="N14" s="6"/>
      <c r="O14" s="9"/>
    </row>
    <row r="15">
      <c r="A15" s="6" t="s">
        <v>63</v>
      </c>
      <c r="B15" s="7">
        <v>2.0</v>
      </c>
      <c r="C15" s="6" t="s">
        <v>49</v>
      </c>
      <c r="D15" s="6" t="s">
        <v>64</v>
      </c>
      <c r="E15" s="6"/>
      <c r="F15" s="6" t="s">
        <v>65</v>
      </c>
      <c r="G15" s="7" t="s">
        <v>56</v>
      </c>
      <c r="H15" s="7" t="s">
        <v>18</v>
      </c>
      <c r="I15" s="7" t="s">
        <v>18</v>
      </c>
      <c r="J15" s="7" t="s">
        <v>18</v>
      </c>
      <c r="K15" s="7" t="s">
        <v>18</v>
      </c>
      <c r="L15" s="8">
        <f t="shared" si="1"/>
        <v>0.0</v>
      </c>
      <c r="M15" s="6"/>
      <c r="N15" s="6"/>
      <c r="O15" s="9" t="s">
        <v>66</v>
      </c>
    </row>
    <row r="16">
      <c r="A16" s="6" t="s">
        <v>67</v>
      </c>
      <c r="B16" s="7">
        <v>2.0</v>
      </c>
      <c r="C16" s="6" t="s">
        <v>49</v>
      </c>
      <c r="D16" s="6" t="s">
        <v>68</v>
      </c>
      <c r="E16" s="6"/>
      <c r="F16" s="6" t="s">
        <v>69</v>
      </c>
      <c r="G16" s="7" t="s">
        <v>56</v>
      </c>
      <c r="H16" s="7" t="s">
        <v>18</v>
      </c>
      <c r="I16" s="7" t="s">
        <v>18</v>
      </c>
      <c r="J16" s="7" t="s">
        <v>18</v>
      </c>
      <c r="K16" s="7" t="s">
        <v>18</v>
      </c>
      <c r="L16" s="8">
        <f t="shared" si="1"/>
        <v>0.0</v>
      </c>
      <c r="M16" s="6"/>
      <c r="N16" s="6"/>
      <c r="O16" s="9" t="s">
        <v>70</v>
      </c>
    </row>
    <row r="17">
      <c r="A17" s="6" t="s">
        <v>71</v>
      </c>
      <c r="B17" s="7">
        <v>2.0</v>
      </c>
      <c r="C17" s="6" t="s">
        <v>49</v>
      </c>
      <c r="D17" s="6" t="s">
        <v>72</v>
      </c>
      <c r="E17" s="6"/>
      <c r="F17" s="6" t="s">
        <v>73</v>
      </c>
      <c r="G17" s="7" t="s">
        <v>56</v>
      </c>
      <c r="H17" s="7" t="s">
        <v>18</v>
      </c>
      <c r="I17" s="7" t="s">
        <v>18</v>
      </c>
      <c r="J17" s="7" t="s">
        <v>18</v>
      </c>
      <c r="K17" s="7" t="s">
        <v>18</v>
      </c>
      <c r="L17" s="8">
        <f t="shared" si="1"/>
        <v>0.0</v>
      </c>
      <c r="M17" s="6"/>
      <c r="N17" s="6"/>
      <c r="O17" s="9" t="s">
        <v>74</v>
      </c>
    </row>
    <row r="18">
      <c r="A18" s="2" t="s">
        <v>75</v>
      </c>
      <c r="B18" s="3">
        <v>1.0</v>
      </c>
      <c r="C18" s="2" t="s">
        <v>76</v>
      </c>
      <c r="D18" s="2" t="s">
        <v>77</v>
      </c>
      <c r="E18" s="2"/>
      <c r="F18" s="2" t="s">
        <v>78</v>
      </c>
      <c r="G18" s="3" t="s">
        <v>17</v>
      </c>
      <c r="H18" s="3" t="s">
        <v>18</v>
      </c>
      <c r="I18" s="3" t="s">
        <v>18</v>
      </c>
      <c r="J18" s="3" t="s">
        <v>18</v>
      </c>
      <c r="K18" s="3" t="s">
        <v>18</v>
      </c>
      <c r="L18" s="4">
        <f t="shared" si="1"/>
        <v>0.0</v>
      </c>
      <c r="M18" s="2"/>
      <c r="N18" s="2"/>
      <c r="O18" s="5"/>
    </row>
    <row r="19">
      <c r="A19" s="6" t="s">
        <v>79</v>
      </c>
      <c r="B19" s="7">
        <v>2.0</v>
      </c>
      <c r="C19" s="6" t="s">
        <v>76</v>
      </c>
      <c r="D19" s="6" t="s">
        <v>80</v>
      </c>
      <c r="E19" s="6"/>
      <c r="F19" s="6" t="s">
        <v>81</v>
      </c>
      <c r="G19" s="7" t="s">
        <v>17</v>
      </c>
      <c r="H19" s="7" t="s">
        <v>18</v>
      </c>
      <c r="I19" s="7" t="s">
        <v>18</v>
      </c>
      <c r="J19" s="7" t="s">
        <v>18</v>
      </c>
      <c r="K19" s="7" t="s">
        <v>18</v>
      </c>
      <c r="L19" s="8">
        <f t="shared" si="1"/>
        <v>0.0</v>
      </c>
      <c r="M19" s="6"/>
      <c r="N19" s="6"/>
      <c r="O19" s="9" t="s">
        <v>82</v>
      </c>
    </row>
    <row r="20">
      <c r="A20" s="6"/>
      <c r="B20" s="7"/>
      <c r="C20" s="6"/>
      <c r="D20" s="6"/>
      <c r="E20" s="6" t="s">
        <v>83</v>
      </c>
      <c r="F20" s="6"/>
      <c r="G20" s="7"/>
      <c r="H20" s="7"/>
      <c r="I20" s="7"/>
      <c r="J20" s="7"/>
      <c r="K20" s="7"/>
      <c r="L20" s="8"/>
      <c r="M20" s="6"/>
      <c r="N20" s="6"/>
      <c r="O20" s="9"/>
    </row>
    <row r="21">
      <c r="A21" s="6"/>
      <c r="B21" s="7"/>
      <c r="C21" s="6"/>
      <c r="D21" s="6"/>
      <c r="E21" s="6" t="s">
        <v>84</v>
      </c>
      <c r="F21" s="6"/>
      <c r="G21" s="7"/>
      <c r="H21" s="7"/>
      <c r="I21" s="7"/>
      <c r="J21" s="7"/>
      <c r="K21" s="7"/>
      <c r="L21" s="8"/>
      <c r="M21" s="6"/>
      <c r="N21" s="6"/>
      <c r="O21" s="9"/>
    </row>
    <row r="22">
      <c r="A22" s="6"/>
      <c r="B22" s="7"/>
      <c r="C22" s="6"/>
      <c r="D22" s="6"/>
      <c r="E22" s="6" t="s">
        <v>85</v>
      </c>
      <c r="F22" s="6"/>
      <c r="G22" s="7"/>
      <c r="H22" s="7"/>
      <c r="I22" s="7"/>
      <c r="J22" s="7"/>
      <c r="K22" s="7"/>
      <c r="L22" s="8"/>
      <c r="M22" s="6"/>
      <c r="N22" s="6"/>
      <c r="O22" s="9"/>
    </row>
    <row r="23">
      <c r="A23" s="6" t="s">
        <v>86</v>
      </c>
      <c r="B23" s="7">
        <v>2.0</v>
      </c>
      <c r="C23" s="6" t="s">
        <v>76</v>
      </c>
      <c r="D23" s="6" t="s">
        <v>87</v>
      </c>
      <c r="E23" s="6"/>
      <c r="F23" s="6" t="s">
        <v>88</v>
      </c>
      <c r="G23" s="7" t="s">
        <v>27</v>
      </c>
      <c r="H23" s="7" t="s">
        <v>18</v>
      </c>
      <c r="I23" s="7" t="s">
        <v>18</v>
      </c>
      <c r="J23" s="7" t="s">
        <v>18</v>
      </c>
      <c r="K23" s="7" t="s">
        <v>18</v>
      </c>
      <c r="L23" s="8">
        <f>COUNTIF(H23:K23,"Complete")/4</f>
        <v>0.0</v>
      </c>
      <c r="M23" s="6"/>
      <c r="N23" s="6"/>
      <c r="O23" s="9" t="s">
        <v>89</v>
      </c>
    </row>
    <row r="24">
      <c r="A24" s="6"/>
      <c r="B24" s="7"/>
      <c r="C24" s="6"/>
      <c r="D24" s="6"/>
      <c r="E24" s="6" t="s">
        <v>90</v>
      </c>
      <c r="F24" s="6"/>
      <c r="G24" s="7"/>
      <c r="H24" s="7"/>
      <c r="I24" s="7"/>
      <c r="J24" s="7"/>
      <c r="K24" s="7"/>
      <c r="L24" s="8"/>
      <c r="M24" s="6"/>
      <c r="N24" s="6"/>
      <c r="O24" s="9"/>
    </row>
    <row r="25">
      <c r="A25" s="6"/>
      <c r="B25" s="7"/>
      <c r="C25" s="6"/>
      <c r="D25" s="6"/>
      <c r="E25" s="6" t="s">
        <v>91</v>
      </c>
      <c r="F25" s="6"/>
      <c r="G25" s="7"/>
      <c r="H25" s="7"/>
      <c r="I25" s="7"/>
      <c r="J25" s="7"/>
      <c r="K25" s="7"/>
      <c r="L25" s="8"/>
      <c r="M25" s="6"/>
      <c r="N25" s="6"/>
      <c r="O25" s="9"/>
    </row>
    <row r="26">
      <c r="A26" s="6"/>
      <c r="B26" s="7"/>
      <c r="C26" s="6"/>
      <c r="D26" s="6"/>
      <c r="E26" s="6" t="s">
        <v>92</v>
      </c>
      <c r="F26" s="6"/>
      <c r="G26" s="7"/>
      <c r="H26" s="7"/>
      <c r="I26" s="7"/>
      <c r="J26" s="7"/>
      <c r="K26" s="7"/>
      <c r="L26" s="8"/>
      <c r="M26" s="6"/>
      <c r="N26" s="6"/>
      <c r="O26" s="9"/>
    </row>
    <row r="27">
      <c r="A27" s="6"/>
      <c r="B27" s="7"/>
      <c r="C27" s="6"/>
      <c r="D27" s="6"/>
      <c r="E27" s="6" t="s">
        <v>93</v>
      </c>
      <c r="F27" s="6"/>
      <c r="G27" s="7"/>
      <c r="H27" s="7"/>
      <c r="I27" s="7"/>
      <c r="J27" s="7"/>
      <c r="K27" s="7"/>
      <c r="L27" s="8"/>
      <c r="M27" s="6"/>
      <c r="N27" s="6"/>
      <c r="O27" s="9"/>
    </row>
    <row r="28">
      <c r="A28" s="6" t="s">
        <v>94</v>
      </c>
      <c r="B28" s="7">
        <v>2.0</v>
      </c>
      <c r="C28" s="6" t="s">
        <v>76</v>
      </c>
      <c r="D28" s="6" t="s">
        <v>95</v>
      </c>
      <c r="E28" s="6"/>
      <c r="F28" s="6" t="s">
        <v>96</v>
      </c>
      <c r="G28" s="7" t="s">
        <v>27</v>
      </c>
      <c r="H28" s="7" t="s">
        <v>18</v>
      </c>
      <c r="I28" s="7" t="s">
        <v>18</v>
      </c>
      <c r="J28" s="7" t="s">
        <v>18</v>
      </c>
      <c r="K28" s="7" t="s">
        <v>18</v>
      </c>
      <c r="L28" s="8">
        <f>COUNTIF(H28:K28,"Complete")/4</f>
        <v>0.0</v>
      </c>
      <c r="M28" s="6"/>
      <c r="N28" s="6"/>
      <c r="O28" s="9" t="s">
        <v>97</v>
      </c>
    </row>
    <row r="29">
      <c r="A29" s="6"/>
      <c r="B29" s="7"/>
      <c r="C29" s="6"/>
      <c r="D29" s="6"/>
      <c r="E29" s="6" t="s">
        <v>98</v>
      </c>
      <c r="F29" s="6"/>
      <c r="G29" s="7"/>
      <c r="H29" s="7"/>
      <c r="I29" s="7"/>
      <c r="J29" s="7"/>
      <c r="K29" s="7"/>
      <c r="L29" s="8"/>
      <c r="M29" s="6"/>
      <c r="N29" s="6"/>
      <c r="O29" s="9"/>
    </row>
    <row r="30">
      <c r="A30" s="6"/>
      <c r="B30" s="7"/>
      <c r="C30" s="6"/>
      <c r="D30" s="6"/>
      <c r="E30" s="6" t="s">
        <v>99</v>
      </c>
      <c r="F30" s="6"/>
      <c r="G30" s="7"/>
      <c r="H30" s="7"/>
      <c r="I30" s="7"/>
      <c r="J30" s="7"/>
      <c r="K30" s="7"/>
      <c r="L30" s="8"/>
      <c r="M30" s="6"/>
      <c r="N30" s="6"/>
      <c r="O30" s="9"/>
    </row>
    <row r="31">
      <c r="A31" s="6"/>
      <c r="B31" s="7"/>
      <c r="C31" s="6"/>
      <c r="D31" s="6"/>
      <c r="E31" s="6" t="s">
        <v>100</v>
      </c>
      <c r="F31" s="6"/>
      <c r="G31" s="7"/>
      <c r="H31" s="7"/>
      <c r="I31" s="7"/>
      <c r="J31" s="7"/>
      <c r="K31" s="7"/>
      <c r="L31" s="8"/>
      <c r="M31" s="6"/>
      <c r="N31" s="6"/>
      <c r="O31" s="9"/>
    </row>
    <row r="32">
      <c r="A32" s="6"/>
      <c r="B32" s="7"/>
      <c r="C32" s="6"/>
      <c r="D32" s="6"/>
      <c r="E32" s="6" t="s">
        <v>101</v>
      </c>
      <c r="F32" s="6"/>
      <c r="G32" s="7"/>
      <c r="H32" s="7"/>
      <c r="I32" s="7"/>
      <c r="J32" s="7"/>
      <c r="K32" s="7"/>
      <c r="L32" s="8"/>
      <c r="M32" s="6"/>
      <c r="N32" s="6"/>
      <c r="O32" s="9"/>
    </row>
    <row r="33">
      <c r="A33" s="6" t="s">
        <v>102</v>
      </c>
      <c r="B33" s="7">
        <v>2.0</v>
      </c>
      <c r="C33" s="6" t="s">
        <v>76</v>
      </c>
      <c r="D33" s="6" t="s">
        <v>103</v>
      </c>
      <c r="E33" s="6"/>
      <c r="F33" s="6" t="s">
        <v>104</v>
      </c>
      <c r="G33" s="7" t="s">
        <v>56</v>
      </c>
      <c r="H33" s="7" t="s">
        <v>18</v>
      </c>
      <c r="I33" s="7" t="s">
        <v>18</v>
      </c>
      <c r="J33" s="7" t="s">
        <v>18</v>
      </c>
      <c r="K33" s="7" t="s">
        <v>18</v>
      </c>
      <c r="L33" s="8">
        <f>COUNTIF(H33:K33,"Complete")/4</f>
        <v>0.0</v>
      </c>
      <c r="M33" s="6"/>
      <c r="N33" s="6"/>
      <c r="O33" s="9" t="s">
        <v>105</v>
      </c>
    </row>
    <row r="34">
      <c r="A34" s="6"/>
      <c r="B34" s="7"/>
      <c r="C34" s="6"/>
      <c r="D34" s="6"/>
      <c r="E34" s="6" t="s">
        <v>106</v>
      </c>
      <c r="F34" s="6"/>
      <c r="G34" s="7"/>
      <c r="H34" s="7"/>
      <c r="I34" s="7"/>
      <c r="J34" s="7"/>
      <c r="K34" s="7"/>
      <c r="L34" s="8"/>
      <c r="M34" s="6"/>
      <c r="N34" s="6"/>
      <c r="O34" s="9"/>
    </row>
    <row r="35">
      <c r="A35" s="6"/>
      <c r="B35" s="7"/>
      <c r="C35" s="6"/>
      <c r="D35" s="6"/>
      <c r="E35" s="6" t="s">
        <v>107</v>
      </c>
      <c r="F35" s="6"/>
      <c r="G35" s="7"/>
      <c r="H35" s="7"/>
      <c r="I35" s="7"/>
      <c r="J35" s="7"/>
      <c r="K35" s="7"/>
      <c r="L35" s="8"/>
      <c r="M35" s="6"/>
      <c r="N35" s="6"/>
      <c r="O35" s="9"/>
    </row>
    <row r="36">
      <c r="A36" s="6"/>
      <c r="B36" s="7"/>
      <c r="C36" s="6"/>
      <c r="D36" s="6"/>
      <c r="E36" s="6" t="s">
        <v>108</v>
      </c>
      <c r="F36" s="6"/>
      <c r="G36" s="7"/>
      <c r="H36" s="7"/>
      <c r="I36" s="7"/>
      <c r="J36" s="7"/>
      <c r="K36" s="7"/>
      <c r="L36" s="8"/>
      <c r="M36" s="6"/>
      <c r="N36" s="6"/>
      <c r="O36" s="9"/>
    </row>
    <row r="37">
      <c r="A37" s="6"/>
      <c r="B37" s="7"/>
      <c r="C37" s="6"/>
      <c r="D37" s="6"/>
      <c r="E37" s="6" t="s">
        <v>109</v>
      </c>
      <c r="F37" s="6"/>
      <c r="G37" s="7"/>
      <c r="H37" s="7"/>
      <c r="I37" s="7"/>
      <c r="J37" s="7"/>
      <c r="K37" s="7"/>
      <c r="L37" s="8"/>
      <c r="M37" s="6"/>
      <c r="N37" s="6"/>
      <c r="O37" s="9"/>
    </row>
    <row r="38">
      <c r="A38" s="6"/>
      <c r="B38" s="7"/>
      <c r="C38" s="6"/>
      <c r="D38" s="6"/>
      <c r="E38" s="6" t="s">
        <v>110</v>
      </c>
      <c r="F38" s="6"/>
      <c r="G38" s="7"/>
      <c r="H38" s="7"/>
      <c r="I38" s="7"/>
      <c r="J38" s="7"/>
      <c r="K38" s="7"/>
      <c r="L38" s="8"/>
      <c r="M38" s="6"/>
      <c r="N38" s="6"/>
      <c r="O38" s="9"/>
    </row>
    <row r="39">
      <c r="A39" s="6"/>
      <c r="B39" s="7"/>
      <c r="C39" s="6"/>
      <c r="D39" s="6"/>
      <c r="E39" s="6" t="s">
        <v>111</v>
      </c>
      <c r="F39" s="6"/>
      <c r="G39" s="7"/>
      <c r="H39" s="7"/>
      <c r="I39" s="7"/>
      <c r="J39" s="7"/>
      <c r="K39" s="7"/>
      <c r="L39" s="8"/>
      <c r="M39" s="6"/>
      <c r="N39" s="6"/>
      <c r="O39" s="9"/>
    </row>
    <row r="40" ht="28.0">
      <c r="A40" s="10" t="s">
        <v>112</v>
      </c>
      <c r="B40" s="11">
        <v>2.0</v>
      </c>
      <c r="C40" s="10" t="s">
        <v>76</v>
      </c>
      <c r="D40" s="10" t="s">
        <v>113</v>
      </c>
      <c r="E40" s="10" t="s">
        <v>114</v>
      </c>
      <c r="F40" s="10" t="s">
        <v>115</v>
      </c>
      <c r="G40" s="11" t="s">
        <v>56</v>
      </c>
      <c r="H40" s="11" t="s">
        <v>18</v>
      </c>
      <c r="I40" s="11" t="s">
        <v>18</v>
      </c>
      <c r="J40" s="11" t="s">
        <v>18</v>
      </c>
      <c r="K40" s="11" t="s">
        <v>18</v>
      </c>
      <c r="L40" s="12">
        <f>COUNTIF(H40:K40,"Complete")/4</f>
        <v>0.0</v>
      </c>
      <c r="M40" s="10"/>
      <c r="N40" s="10"/>
      <c r="O40" s="13" t="s">
        <v>116</v>
      </c>
    </row>
    <row r="41">
      <c r="A41" s="10"/>
      <c r="B41" s="11"/>
      <c r="C41" s="10"/>
      <c r="D41" s="10"/>
      <c r="E41" s="10" t="s">
        <v>117</v>
      </c>
      <c r="F41" s="10"/>
      <c r="G41" s="11"/>
      <c r="H41" s="11"/>
      <c r="I41" s="11"/>
      <c r="J41" s="11"/>
      <c r="K41" s="11"/>
      <c r="L41" s="12"/>
      <c r="M41" s="10"/>
      <c r="N41" s="10"/>
      <c r="O41" s="13"/>
    </row>
    <row r="42">
      <c r="A42" s="10"/>
      <c r="B42" s="11"/>
      <c r="C42" s="10"/>
      <c r="D42" s="10"/>
      <c r="E42" s="10" t="s">
        <v>118</v>
      </c>
      <c r="F42" s="10"/>
      <c r="G42" s="11"/>
      <c r="H42" s="11"/>
      <c r="I42" s="11"/>
      <c r="J42" s="11"/>
      <c r="K42" s="11"/>
      <c r="L42" s="12"/>
      <c r="M42" s="10"/>
      <c r="N42" s="10"/>
      <c r="O42" s="13"/>
    </row>
    <row r="43">
      <c r="A43" s="2" t="s">
        <v>119</v>
      </c>
      <c r="B43" s="3">
        <v>1.0</v>
      </c>
      <c r="C43" s="2" t="s">
        <v>120</v>
      </c>
      <c r="D43" s="2" t="s">
        <v>121</v>
      </c>
      <c r="E43" s="2"/>
      <c r="F43" s="2" t="s">
        <v>122</v>
      </c>
      <c r="G43" s="3" t="s">
        <v>17</v>
      </c>
      <c r="H43" s="3" t="s">
        <v>18</v>
      </c>
      <c r="I43" s="3" t="s">
        <v>18</v>
      </c>
      <c r="J43" s="3" t="s">
        <v>18</v>
      </c>
      <c r="K43" s="3" t="s">
        <v>18</v>
      </c>
      <c r="L43" s="4">
        <f t="shared" ref="L43:L59" si="6">COUNTIF(H43:K43,"Complete")/4</f>
        <v>0.0</v>
      </c>
      <c r="M43" s="2"/>
      <c r="N43" s="2"/>
      <c r="O43" s="5"/>
    </row>
    <row r="44">
      <c r="A44" s="6" t="s">
        <v>123</v>
      </c>
      <c r="B44" s="7">
        <v>2.0</v>
      </c>
      <c r="C44" s="6" t="s">
        <v>120</v>
      </c>
      <c r="D44" s="6" t="s">
        <v>124</v>
      </c>
      <c r="E44" s="6"/>
      <c r="F44" s="6" t="s">
        <v>125</v>
      </c>
      <c r="G44" s="7" t="s">
        <v>17</v>
      </c>
      <c r="H44" s="7" t="s">
        <v>18</v>
      </c>
      <c r="I44" s="7" t="s">
        <v>18</v>
      </c>
      <c r="J44" s="7" t="s">
        <v>18</v>
      </c>
      <c r="K44" s="7" t="s">
        <v>18</v>
      </c>
      <c r="L44" s="8">
        <f t="shared" si="6"/>
        <v>0.0</v>
      </c>
      <c r="M44" s="6"/>
      <c r="N44" s="6"/>
      <c r="O44" s="9" t="s">
        <v>126</v>
      </c>
    </row>
    <row r="45">
      <c r="A45" s="6" t="s">
        <v>127</v>
      </c>
      <c r="B45" s="7">
        <v>2.0</v>
      </c>
      <c r="C45" s="6" t="s">
        <v>120</v>
      </c>
      <c r="D45" s="6" t="s">
        <v>128</v>
      </c>
      <c r="E45" s="6"/>
      <c r="F45" s="6" t="s">
        <v>129</v>
      </c>
      <c r="G45" s="7" t="s">
        <v>27</v>
      </c>
      <c r="H45" s="7" t="s">
        <v>18</v>
      </c>
      <c r="I45" s="7" t="s">
        <v>18</v>
      </c>
      <c r="J45" s="7" t="s">
        <v>18</v>
      </c>
      <c r="K45" s="7" t="s">
        <v>18</v>
      </c>
      <c r="L45" s="8">
        <f t="shared" si="6"/>
        <v>0.0</v>
      </c>
      <c r="M45" s="6"/>
      <c r="N45" s="6"/>
      <c r="O45" s="9"/>
    </row>
    <row r="46">
      <c r="A46" s="6" t="s">
        <v>130</v>
      </c>
      <c r="B46" s="7">
        <v>2.0</v>
      </c>
      <c r="C46" s="6" t="s">
        <v>120</v>
      </c>
      <c r="D46" s="6" t="s">
        <v>131</v>
      </c>
      <c r="E46" s="6"/>
      <c r="F46" s="6" t="s">
        <v>132</v>
      </c>
      <c r="G46" s="7" t="s">
        <v>27</v>
      </c>
      <c r="H46" s="7" t="s">
        <v>18</v>
      </c>
      <c r="I46" s="7" t="s">
        <v>18</v>
      </c>
      <c r="J46" s="7" t="s">
        <v>18</v>
      </c>
      <c r="K46" s="7" t="s">
        <v>18</v>
      </c>
      <c r="L46" s="8">
        <f t="shared" si="6"/>
        <v>0.0</v>
      </c>
      <c r="M46" s="6"/>
      <c r="N46" s="6"/>
      <c r="O46" s="9"/>
    </row>
    <row r="47">
      <c r="A47" s="6" t="s">
        <v>133</v>
      </c>
      <c r="B47" s="7">
        <v>2.0</v>
      </c>
      <c r="C47" s="6" t="s">
        <v>120</v>
      </c>
      <c r="D47" s="6" t="s">
        <v>134</v>
      </c>
      <c r="E47" s="6"/>
      <c r="F47" s="6" t="s">
        <v>135</v>
      </c>
      <c r="G47" s="7" t="s">
        <v>27</v>
      </c>
      <c r="H47" s="7" t="s">
        <v>18</v>
      </c>
      <c r="I47" s="7" t="s">
        <v>18</v>
      </c>
      <c r="J47" s="7" t="s">
        <v>18</v>
      </c>
      <c r="K47" s="7" t="s">
        <v>18</v>
      </c>
      <c r="L47" s="8">
        <f t="shared" si="6"/>
        <v>0.0</v>
      </c>
      <c r="M47" s="6"/>
      <c r="N47" s="6"/>
      <c r="O47" s="9"/>
    </row>
    <row r="48">
      <c r="A48" s="6" t="s">
        <v>136</v>
      </c>
      <c r="B48" s="7">
        <v>2.0</v>
      </c>
      <c r="C48" s="6" t="s">
        <v>120</v>
      </c>
      <c r="D48" s="6" t="s">
        <v>137</v>
      </c>
      <c r="E48" s="6"/>
      <c r="F48" s="6" t="s">
        <v>138</v>
      </c>
      <c r="G48" s="7" t="s">
        <v>56</v>
      </c>
      <c r="H48" s="7" t="s">
        <v>18</v>
      </c>
      <c r="I48" s="7" t="s">
        <v>18</v>
      </c>
      <c r="J48" s="7" t="s">
        <v>18</v>
      </c>
      <c r="K48" s="7" t="s">
        <v>18</v>
      </c>
      <c r="L48" s="8">
        <f t="shared" si="6"/>
        <v>0.0</v>
      </c>
      <c r="M48" s="6"/>
      <c r="N48" s="6"/>
      <c r="O48" s="9"/>
    </row>
    <row r="49">
      <c r="A49" s="6" t="s">
        <v>139</v>
      </c>
      <c r="B49" s="7">
        <v>2.0</v>
      </c>
      <c r="C49" s="6" t="s">
        <v>120</v>
      </c>
      <c r="D49" s="6" t="s">
        <v>140</v>
      </c>
      <c r="E49" s="6"/>
      <c r="F49" s="6" t="s">
        <v>141</v>
      </c>
      <c r="G49" s="7" t="s">
        <v>56</v>
      </c>
      <c r="H49" s="7" t="s">
        <v>18</v>
      </c>
      <c r="I49" s="7" t="s">
        <v>18</v>
      </c>
      <c r="J49" s="7" t="s">
        <v>18</v>
      </c>
      <c r="K49" s="7" t="s">
        <v>18</v>
      </c>
      <c r="L49" s="8">
        <f t="shared" si="6"/>
        <v>0.0</v>
      </c>
      <c r="M49" s="6"/>
      <c r="N49" s="6"/>
      <c r="O49" s="9"/>
    </row>
    <row r="50">
      <c r="A50" s="2" t="s">
        <v>142</v>
      </c>
      <c r="B50" s="3">
        <v>1.0</v>
      </c>
      <c r="C50" s="2" t="s">
        <v>143</v>
      </c>
      <c r="D50" s="2" t="s">
        <v>143</v>
      </c>
      <c r="E50" s="2"/>
      <c r="F50" s="2" t="s">
        <v>144</v>
      </c>
      <c r="G50" s="3" t="s">
        <v>27</v>
      </c>
      <c r="H50" s="3" t="s">
        <v>18</v>
      </c>
      <c r="I50" s="3" t="s">
        <v>18</v>
      </c>
      <c r="J50" s="3" t="s">
        <v>18</v>
      </c>
      <c r="K50" s="3" t="s">
        <v>18</v>
      </c>
      <c r="L50" s="4">
        <f t="shared" si="6"/>
        <v>0.0</v>
      </c>
      <c r="M50" s="2"/>
      <c r="N50" s="2"/>
      <c r="O50" s="5"/>
    </row>
    <row r="51">
      <c r="A51" s="6" t="s">
        <v>145</v>
      </c>
      <c r="B51" s="7">
        <v>2.0</v>
      </c>
      <c r="C51" s="6" t="s">
        <v>143</v>
      </c>
      <c r="D51" s="6" t="s">
        <v>146</v>
      </c>
      <c r="E51" s="6"/>
      <c r="F51" s="6" t="s">
        <v>147</v>
      </c>
      <c r="G51" s="7" t="s">
        <v>56</v>
      </c>
      <c r="H51" s="7" t="s">
        <v>18</v>
      </c>
      <c r="I51" s="7" t="s">
        <v>18</v>
      </c>
      <c r="J51" s="7" t="s">
        <v>18</v>
      </c>
      <c r="K51" s="7" t="s">
        <v>18</v>
      </c>
      <c r="L51" s="8">
        <f t="shared" si="6"/>
        <v>0.0</v>
      </c>
      <c r="M51" s="6"/>
      <c r="N51" s="6"/>
      <c r="O51" s="9" t="s">
        <v>148</v>
      </c>
    </row>
    <row r="52">
      <c r="A52" s="6" t="s">
        <v>149</v>
      </c>
      <c r="B52" s="7">
        <v>2.0</v>
      </c>
      <c r="C52" s="6" t="s">
        <v>143</v>
      </c>
      <c r="D52" s="6" t="s">
        <v>150</v>
      </c>
      <c r="E52" s="6"/>
      <c r="F52" s="6" t="s">
        <v>151</v>
      </c>
      <c r="G52" s="7" t="s">
        <v>56</v>
      </c>
      <c r="H52" s="7" t="s">
        <v>18</v>
      </c>
      <c r="I52" s="7" t="s">
        <v>18</v>
      </c>
      <c r="J52" s="7" t="s">
        <v>18</v>
      </c>
      <c r="K52" s="7" t="s">
        <v>18</v>
      </c>
      <c r="L52" s="8">
        <f t="shared" si="6"/>
        <v>0.0</v>
      </c>
      <c r="M52" s="6"/>
      <c r="N52" s="6"/>
      <c r="O52" s="9" t="s">
        <v>148</v>
      </c>
    </row>
    <row r="53">
      <c r="A53" s="6" t="s">
        <v>152</v>
      </c>
      <c r="B53" s="7">
        <v>2.0</v>
      </c>
      <c r="C53" s="6" t="s">
        <v>143</v>
      </c>
      <c r="D53" s="6" t="s">
        <v>153</v>
      </c>
      <c r="E53" s="6"/>
      <c r="F53" s="6" t="s">
        <v>154</v>
      </c>
      <c r="G53" s="7" t="s">
        <v>56</v>
      </c>
      <c r="H53" s="7" t="s">
        <v>18</v>
      </c>
      <c r="I53" s="7" t="s">
        <v>18</v>
      </c>
      <c r="J53" s="7" t="s">
        <v>18</v>
      </c>
      <c r="K53" s="7" t="s">
        <v>18</v>
      </c>
      <c r="L53" s="8">
        <f t="shared" si="6"/>
        <v>0.0</v>
      </c>
      <c r="M53" s="6"/>
      <c r="N53" s="6"/>
      <c r="O53" s="9" t="s">
        <v>148</v>
      </c>
    </row>
    <row r="54">
      <c r="A54" s="6" t="s">
        <v>155</v>
      </c>
      <c r="B54" s="7">
        <v>2.0</v>
      </c>
      <c r="C54" s="6" t="s">
        <v>143</v>
      </c>
      <c r="D54" s="6" t="s">
        <v>156</v>
      </c>
      <c r="E54" s="6"/>
      <c r="F54" s="6" t="s">
        <v>157</v>
      </c>
      <c r="G54" s="7" t="s">
        <v>56</v>
      </c>
      <c r="H54" s="7" t="s">
        <v>18</v>
      </c>
      <c r="I54" s="7" t="s">
        <v>18</v>
      </c>
      <c r="J54" s="7" t="s">
        <v>18</v>
      </c>
      <c r="K54" s="7" t="s">
        <v>18</v>
      </c>
      <c r="L54" s="8">
        <f t="shared" si="6"/>
        <v>0.0</v>
      </c>
      <c r="M54" s="6"/>
      <c r="N54" s="6"/>
      <c r="O54" s="9" t="s">
        <v>148</v>
      </c>
    </row>
    <row r="55">
      <c r="A55" s="6" t="s">
        <v>158</v>
      </c>
      <c r="B55" s="7">
        <v>2.0</v>
      </c>
      <c r="C55" s="6" t="s">
        <v>143</v>
      </c>
      <c r="D55" s="6" t="s">
        <v>159</v>
      </c>
      <c r="E55" s="6"/>
      <c r="F55" s="6" t="s">
        <v>160</v>
      </c>
      <c r="G55" s="7" t="s">
        <v>56</v>
      </c>
      <c r="H55" s="7" t="s">
        <v>18</v>
      </c>
      <c r="I55" s="7" t="s">
        <v>18</v>
      </c>
      <c r="J55" s="7" t="s">
        <v>18</v>
      </c>
      <c r="K55" s="7" t="s">
        <v>18</v>
      </c>
      <c r="L55" s="8">
        <f t="shared" si="6"/>
        <v>0.0</v>
      </c>
      <c r="M55" s="6"/>
      <c r="N55" s="6"/>
      <c r="O55" s="9" t="s">
        <v>148</v>
      </c>
    </row>
    <row r="56">
      <c r="A56" s="6" t="s">
        <v>161</v>
      </c>
      <c r="B56" s="7">
        <v>2.0</v>
      </c>
      <c r="C56" s="6" t="s">
        <v>143</v>
      </c>
      <c r="D56" s="6" t="s">
        <v>162</v>
      </c>
      <c r="E56" s="6"/>
      <c r="F56" s="6" t="s">
        <v>163</v>
      </c>
      <c r="G56" s="7" t="s">
        <v>56</v>
      </c>
      <c r="H56" s="7" t="s">
        <v>18</v>
      </c>
      <c r="I56" s="7" t="s">
        <v>18</v>
      </c>
      <c r="J56" s="7" t="s">
        <v>18</v>
      </c>
      <c r="K56" s="7" t="s">
        <v>18</v>
      </c>
      <c r="L56" s="8">
        <f t="shared" si="6"/>
        <v>0.0</v>
      </c>
      <c r="M56" s="6"/>
      <c r="N56" s="6"/>
      <c r="O56" s="9" t="s">
        <v>148</v>
      </c>
    </row>
    <row r="57">
      <c r="A57" s="6" t="s">
        <v>164</v>
      </c>
      <c r="B57" s="7">
        <v>2.0</v>
      </c>
      <c r="C57" s="6" t="s">
        <v>143</v>
      </c>
      <c r="D57" s="6" t="s">
        <v>165</v>
      </c>
      <c r="E57" s="6"/>
      <c r="F57" s="6" t="s">
        <v>166</v>
      </c>
      <c r="G57" s="7" t="s">
        <v>56</v>
      </c>
      <c r="H57" s="7" t="s">
        <v>18</v>
      </c>
      <c r="I57" s="7" t="s">
        <v>18</v>
      </c>
      <c r="J57" s="7" t="s">
        <v>18</v>
      </c>
      <c r="K57" s="7" t="s">
        <v>18</v>
      </c>
      <c r="L57" s="8">
        <f t="shared" si="6"/>
        <v>0.0</v>
      </c>
      <c r="M57" s="6"/>
      <c r="N57" s="6"/>
      <c r="O57" s="9" t="s">
        <v>148</v>
      </c>
    </row>
    <row r="58">
      <c r="A58" s="6" t="s">
        <v>167</v>
      </c>
      <c r="B58" s="7">
        <v>2.0</v>
      </c>
      <c r="C58" s="6" t="s">
        <v>143</v>
      </c>
      <c r="D58" s="6" t="s">
        <v>168</v>
      </c>
      <c r="E58" s="6"/>
      <c r="F58" s="6" t="s">
        <v>169</v>
      </c>
      <c r="G58" s="7" t="s">
        <v>56</v>
      </c>
      <c r="H58" s="7" t="s">
        <v>18</v>
      </c>
      <c r="I58" s="7" t="s">
        <v>18</v>
      </c>
      <c r="J58" s="7" t="s">
        <v>18</v>
      </c>
      <c r="K58" s="7" t="s">
        <v>18</v>
      </c>
      <c r="L58" s="8">
        <f t="shared" si="6"/>
        <v>0.0</v>
      </c>
      <c r="M58" s="6"/>
      <c r="N58" s="6"/>
      <c r="O58" s="9" t="s">
        <v>148</v>
      </c>
    </row>
    <row r="59">
      <c r="A59" s="6" t="s">
        <v>170</v>
      </c>
      <c r="B59" s="7">
        <v>2.0</v>
      </c>
      <c r="C59" s="6" t="s">
        <v>143</v>
      </c>
      <c r="D59" s="6" t="s">
        <v>171</v>
      </c>
      <c r="E59" s="6"/>
      <c r="F59" s="6" t="s">
        <v>172</v>
      </c>
      <c r="G59" s="7" t="s">
        <v>56</v>
      </c>
      <c r="H59" s="7" t="s">
        <v>18</v>
      </c>
      <c r="I59" s="7" t="s">
        <v>18</v>
      </c>
      <c r="J59" s="7" t="s">
        <v>18</v>
      </c>
      <c r="K59" s="7" t="s">
        <v>18</v>
      </c>
      <c r="L59" s="8">
        <f t="shared" si="6"/>
        <v>0.0</v>
      </c>
      <c r="M59" s="6"/>
      <c r="N59" s="6"/>
      <c r="O59" s="9" t="s">
        <v>148</v>
      </c>
    </row>
    <row r="60">
      <c r="A60" s="6"/>
      <c r="B60" s="7"/>
      <c r="C60" s="6" t="s">
        <v>143</v>
      </c>
      <c r="D60" s="6" t="s">
        <v>173</v>
      </c>
      <c r="E60" s="6"/>
      <c r="F60" s="6"/>
      <c r="G60" s="7"/>
      <c r="H60" s="7"/>
      <c r="I60" s="7"/>
      <c r="J60" s="7"/>
      <c r="K60" s="7"/>
      <c r="L60" s="8"/>
      <c r="M60" s="6"/>
      <c r="N60" s="6"/>
      <c r="O60" s="9"/>
    </row>
    <row r="61">
      <c r="A61" s="6"/>
      <c r="B61" s="7"/>
      <c r="C61" s="6" t="s">
        <v>143</v>
      </c>
      <c r="D61" s="6" t="s">
        <v>174</v>
      </c>
      <c r="E61" s="6"/>
      <c r="F61" s="6"/>
      <c r="G61" s="7"/>
      <c r="H61" s="7"/>
      <c r="I61" s="7"/>
      <c r="J61" s="7"/>
      <c r="K61" s="7"/>
      <c r="L61" s="8"/>
      <c r="M61" s="6"/>
      <c r="N61" s="6"/>
      <c r="O61" s="9"/>
    </row>
    <row r="62">
      <c r="A62" s="6"/>
      <c r="B62" s="7"/>
      <c r="C62" s="6" t="s">
        <v>143</v>
      </c>
      <c r="D62" s="6" t="s">
        <v>175</v>
      </c>
      <c r="E62" s="6"/>
      <c r="F62" s="6"/>
      <c r="G62" s="7"/>
      <c r="H62" s="7"/>
      <c r="I62" s="7"/>
      <c r="J62" s="7"/>
      <c r="K62" s="7"/>
      <c r="L62" s="8"/>
      <c r="M62" s="6"/>
      <c r="N62" s="6"/>
      <c r="O62" s="9"/>
    </row>
    <row r="63">
      <c r="A63" s="6"/>
      <c r="B63" s="7"/>
      <c r="C63" s="6" t="s">
        <v>143</v>
      </c>
      <c r="D63" s="6" t="s">
        <v>176</v>
      </c>
      <c r="E63" s="6"/>
      <c r="F63" s="6"/>
      <c r="G63" s="7"/>
      <c r="H63" s="7"/>
      <c r="I63" s="7"/>
      <c r="J63" s="7"/>
      <c r="K63" s="7"/>
      <c r="L63" s="8"/>
      <c r="M63" s="6"/>
      <c r="N63" s="6"/>
      <c r="O63" s="9"/>
    </row>
    <row r="64">
      <c r="A64" s="6"/>
      <c r="B64" s="7"/>
      <c r="C64" s="6" t="s">
        <v>143</v>
      </c>
      <c r="D64" s="6" t="s">
        <v>177</v>
      </c>
      <c r="E64" s="6"/>
      <c r="F64" s="6"/>
      <c r="G64" s="7"/>
      <c r="H64" s="7"/>
      <c r="I64" s="7"/>
      <c r="J64" s="7"/>
      <c r="K64" s="7"/>
      <c r="L64" s="8"/>
      <c r="M64" s="6"/>
      <c r="N64" s="6"/>
      <c r="O64" s="9"/>
    </row>
    <row r="65">
      <c r="A65" s="6"/>
      <c r="B65" s="7"/>
      <c r="C65" s="6" t="s">
        <v>143</v>
      </c>
      <c r="D65" s="6" t="s">
        <v>178</v>
      </c>
      <c r="E65" s="6"/>
      <c r="F65" s="6"/>
      <c r="G65" s="7"/>
      <c r="H65" s="7"/>
      <c r="I65" s="7"/>
      <c r="J65" s="7"/>
      <c r="K65" s="7"/>
      <c r="L65" s="8"/>
      <c r="M65" s="6"/>
      <c r="N65" s="6"/>
      <c r="O65" s="9"/>
    </row>
    <row r="66">
      <c r="A66" s="6"/>
      <c r="B66" s="7"/>
      <c r="C66" s="6" t="s">
        <v>143</v>
      </c>
      <c r="D66" s="6" t="s">
        <v>179</v>
      </c>
      <c r="E66" s="6"/>
      <c r="F66" s="6"/>
      <c r="G66" s="7"/>
      <c r="H66" s="7"/>
      <c r="I66" s="7"/>
      <c r="J66" s="7"/>
      <c r="K66" s="7"/>
      <c r="L66" s="8"/>
      <c r="M66" s="6"/>
      <c r="N66" s="6"/>
      <c r="O66" s="9"/>
    </row>
    <row r="67">
      <c r="A67" s="6"/>
      <c r="B67" s="7"/>
      <c r="C67" s="6" t="s">
        <v>143</v>
      </c>
      <c r="D67" s="6" t="s">
        <v>180</v>
      </c>
      <c r="E67" s="6"/>
      <c r="F67" s="6"/>
      <c r="G67" s="7"/>
      <c r="H67" s="7"/>
      <c r="I67" s="7"/>
      <c r="J67" s="7"/>
      <c r="K67" s="7"/>
      <c r="L67" s="8"/>
      <c r="M67" s="6"/>
      <c r="N67" s="6"/>
      <c r="O67" s="9"/>
    </row>
    <row r="68">
      <c r="A68" s="6"/>
      <c r="B68" s="7"/>
      <c r="C68" s="6" t="s">
        <v>143</v>
      </c>
      <c r="D68" s="6" t="s">
        <v>181</v>
      </c>
      <c r="E68" s="6"/>
      <c r="F68" s="6"/>
      <c r="G68" s="7"/>
      <c r="H68" s="7"/>
      <c r="I68" s="7"/>
      <c r="J68" s="7"/>
      <c r="K68" s="7"/>
      <c r="L68" s="8"/>
      <c r="M68" s="6"/>
      <c r="N68" s="6"/>
      <c r="O68" s="9"/>
    </row>
    <row r="69">
      <c r="A69" s="6"/>
      <c r="B69" s="7"/>
      <c r="C69" s="6" t="s">
        <v>143</v>
      </c>
      <c r="D69" s="6" t="s">
        <v>182</v>
      </c>
      <c r="E69" s="6"/>
      <c r="F69" s="6"/>
      <c r="G69" s="7"/>
      <c r="H69" s="7"/>
      <c r="I69" s="7"/>
      <c r="J69" s="7"/>
      <c r="K69" s="7"/>
      <c r="L69" s="8"/>
      <c r="M69" s="6"/>
      <c r="N69" s="6"/>
      <c r="O69" s="9"/>
    </row>
    <row r="70">
      <c r="A70" s="2" t="s">
        <v>183</v>
      </c>
      <c r="B70" s="3">
        <v>1.0</v>
      </c>
      <c r="C70" s="2" t="s">
        <v>184</v>
      </c>
      <c r="D70" s="2" t="s">
        <v>185</v>
      </c>
      <c r="E70" s="2"/>
      <c r="F70" s="2" t="s">
        <v>186</v>
      </c>
      <c r="G70" s="3" t="s">
        <v>27</v>
      </c>
      <c r="H70" s="3" t="s">
        <v>18</v>
      </c>
      <c r="I70" s="3" t="s">
        <v>18</v>
      </c>
      <c r="J70" s="3" t="s">
        <v>18</v>
      </c>
      <c r="K70" s="3" t="s">
        <v>18</v>
      </c>
      <c r="L70" s="4">
        <f t="shared" ref="L70:L78" si="7">COUNTIF(H70:K70,"Complete")/4</f>
        <v>0.0</v>
      </c>
      <c r="M70" s="2"/>
      <c r="N70" s="2"/>
      <c r="O70" s="5"/>
    </row>
    <row r="71">
      <c r="A71" s="6" t="s">
        <v>187</v>
      </c>
      <c r="B71" s="7">
        <v>2.0</v>
      </c>
      <c r="C71" s="6" t="s">
        <v>184</v>
      </c>
      <c r="D71" s="6" t="s">
        <v>188</v>
      </c>
      <c r="E71" s="6"/>
      <c r="F71" s="6" t="s">
        <v>189</v>
      </c>
      <c r="G71" s="7" t="s">
        <v>56</v>
      </c>
      <c r="H71" s="7" t="s">
        <v>18</v>
      </c>
      <c r="I71" s="7" t="s">
        <v>18</v>
      </c>
      <c r="J71" s="7" t="s">
        <v>18</v>
      </c>
      <c r="K71" s="7" t="s">
        <v>18</v>
      </c>
      <c r="L71" s="8">
        <f t="shared" si="7"/>
        <v>0.0</v>
      </c>
      <c r="M71" s="6"/>
      <c r="N71" s="6"/>
      <c r="O71" s="9" t="s">
        <v>148</v>
      </c>
    </row>
    <row r="72">
      <c r="A72" s="6" t="s">
        <v>190</v>
      </c>
      <c r="B72" s="7">
        <v>2.0</v>
      </c>
      <c r="C72" s="6" t="s">
        <v>184</v>
      </c>
      <c r="D72" s="6" t="s">
        <v>191</v>
      </c>
      <c r="E72" s="6"/>
      <c r="F72" s="6" t="s">
        <v>192</v>
      </c>
      <c r="G72" s="7" t="s">
        <v>56</v>
      </c>
      <c r="H72" s="7" t="s">
        <v>18</v>
      </c>
      <c r="I72" s="7" t="s">
        <v>18</v>
      </c>
      <c r="J72" s="7" t="s">
        <v>18</v>
      </c>
      <c r="K72" s="7" t="s">
        <v>18</v>
      </c>
      <c r="L72" s="8">
        <f t="shared" si="7"/>
        <v>0.0</v>
      </c>
      <c r="M72" s="6"/>
      <c r="N72" s="6"/>
      <c r="O72" s="9" t="s">
        <v>148</v>
      </c>
    </row>
    <row r="73">
      <c r="A73" s="6" t="s">
        <v>193</v>
      </c>
      <c r="B73" s="7">
        <v>2.0</v>
      </c>
      <c r="C73" s="6" t="s">
        <v>184</v>
      </c>
      <c r="D73" s="6" t="s">
        <v>194</v>
      </c>
      <c r="E73" s="6"/>
      <c r="F73" s="6" t="s">
        <v>195</v>
      </c>
      <c r="G73" s="7" t="s">
        <v>56</v>
      </c>
      <c r="H73" s="7" t="s">
        <v>18</v>
      </c>
      <c r="I73" s="7" t="s">
        <v>18</v>
      </c>
      <c r="J73" s="7" t="s">
        <v>18</v>
      </c>
      <c r="K73" s="7" t="s">
        <v>18</v>
      </c>
      <c r="L73" s="8">
        <f t="shared" si="7"/>
        <v>0.0</v>
      </c>
      <c r="M73" s="6"/>
      <c r="N73" s="6"/>
      <c r="O73" s="9" t="s">
        <v>148</v>
      </c>
    </row>
    <row r="74">
      <c r="A74" s="6" t="s">
        <v>196</v>
      </c>
      <c r="B74" s="7">
        <v>2.0</v>
      </c>
      <c r="C74" s="6" t="s">
        <v>184</v>
      </c>
      <c r="D74" s="6" t="s">
        <v>197</v>
      </c>
      <c r="E74" s="6"/>
      <c r="F74" s="6" t="s">
        <v>198</v>
      </c>
      <c r="G74" s="7" t="s">
        <v>56</v>
      </c>
      <c r="H74" s="7" t="s">
        <v>18</v>
      </c>
      <c r="I74" s="7" t="s">
        <v>18</v>
      </c>
      <c r="J74" s="7" t="s">
        <v>18</v>
      </c>
      <c r="K74" s="7" t="s">
        <v>18</v>
      </c>
      <c r="L74" s="8">
        <f t="shared" si="7"/>
        <v>0.0</v>
      </c>
      <c r="M74" s="6"/>
      <c r="N74" s="6"/>
      <c r="O74" s="9" t="s">
        <v>148</v>
      </c>
    </row>
    <row r="75">
      <c r="A75" s="6" t="s">
        <v>199</v>
      </c>
      <c r="B75" s="7">
        <v>2.0</v>
      </c>
      <c r="C75" s="6" t="s">
        <v>184</v>
      </c>
      <c r="D75" s="6" t="s">
        <v>200</v>
      </c>
      <c r="E75" s="6"/>
      <c r="F75" s="6" t="s">
        <v>201</v>
      </c>
      <c r="G75" s="7" t="s">
        <v>56</v>
      </c>
      <c r="H75" s="7" t="s">
        <v>18</v>
      </c>
      <c r="I75" s="7" t="s">
        <v>18</v>
      </c>
      <c r="J75" s="7" t="s">
        <v>18</v>
      </c>
      <c r="K75" s="7" t="s">
        <v>18</v>
      </c>
      <c r="L75" s="8">
        <f t="shared" si="7"/>
        <v>0.0</v>
      </c>
      <c r="M75" s="6"/>
      <c r="N75" s="6"/>
      <c r="O75" s="9" t="s">
        <v>148</v>
      </c>
    </row>
    <row r="76">
      <c r="A76" s="6" t="s">
        <v>202</v>
      </c>
      <c r="B76" s="7">
        <v>2.0</v>
      </c>
      <c r="C76" s="6" t="s">
        <v>184</v>
      </c>
      <c r="D76" s="6" t="s">
        <v>203</v>
      </c>
      <c r="E76" s="6"/>
      <c r="F76" s="6" t="s">
        <v>204</v>
      </c>
      <c r="G76" s="7" t="s">
        <v>56</v>
      </c>
      <c r="H76" s="7" t="s">
        <v>18</v>
      </c>
      <c r="I76" s="7" t="s">
        <v>18</v>
      </c>
      <c r="J76" s="7" t="s">
        <v>18</v>
      </c>
      <c r="K76" s="7" t="s">
        <v>18</v>
      </c>
      <c r="L76" s="8">
        <f t="shared" si="7"/>
        <v>0.0</v>
      </c>
      <c r="M76" s="6"/>
      <c r="N76" s="6"/>
      <c r="O76" s="9" t="s">
        <v>148</v>
      </c>
    </row>
    <row r="77">
      <c r="A77" s="6" t="s">
        <v>205</v>
      </c>
      <c r="B77" s="7">
        <v>2.0</v>
      </c>
      <c r="C77" s="6" t="s">
        <v>184</v>
      </c>
      <c r="D77" s="6" t="s">
        <v>206</v>
      </c>
      <c r="E77" s="6"/>
      <c r="F77" s="6" t="s">
        <v>207</v>
      </c>
      <c r="G77" s="7" t="s">
        <v>56</v>
      </c>
      <c r="H77" s="7" t="s">
        <v>18</v>
      </c>
      <c r="I77" s="7" t="s">
        <v>18</v>
      </c>
      <c r="J77" s="7" t="s">
        <v>18</v>
      </c>
      <c r="K77" s="7" t="s">
        <v>18</v>
      </c>
      <c r="L77" s="8">
        <f t="shared" si="7"/>
        <v>0.0</v>
      </c>
      <c r="M77" s="6"/>
      <c r="N77" s="6"/>
      <c r="O77" s="9" t="s">
        <v>148</v>
      </c>
    </row>
    <row r="78">
      <c r="A78" s="6" t="s">
        <v>208</v>
      </c>
      <c r="B78" s="7">
        <v>2.0</v>
      </c>
      <c r="C78" s="6" t="s">
        <v>184</v>
      </c>
      <c r="D78" s="6" t="s">
        <v>209</v>
      </c>
      <c r="E78" s="6"/>
      <c r="F78" s="6" t="s">
        <v>210</v>
      </c>
      <c r="G78" s="7" t="s">
        <v>56</v>
      </c>
      <c r="H78" s="7" t="s">
        <v>18</v>
      </c>
      <c r="I78" s="7" t="s">
        <v>18</v>
      </c>
      <c r="J78" s="7" t="s">
        <v>18</v>
      </c>
      <c r="K78" s="7" t="s">
        <v>18</v>
      </c>
      <c r="L78" s="8">
        <f t="shared" si="7"/>
        <v>0.0</v>
      </c>
      <c r="M78" s="6"/>
      <c r="N78" s="6"/>
      <c r="O78" s="9" t="s">
        <v>148</v>
      </c>
    </row>
    <row r="79">
      <c r="A79" s="6"/>
      <c r="B79" s="7"/>
      <c r="C79" s="6" t="s">
        <v>184</v>
      </c>
      <c r="D79" s="6" t="s">
        <v>211</v>
      </c>
      <c r="E79" s="6"/>
      <c r="F79" s="6"/>
      <c r="G79" s="7"/>
      <c r="H79" s="7"/>
      <c r="I79" s="7"/>
      <c r="J79" s="7"/>
      <c r="K79" s="7"/>
      <c r="L79" s="8"/>
      <c r="M79" s="6"/>
      <c r="N79" s="6"/>
      <c r="O79" s="9"/>
    </row>
    <row r="80">
      <c r="A80" s="6"/>
      <c r="B80" s="7"/>
      <c r="C80" s="6" t="s">
        <v>184</v>
      </c>
      <c r="D80" s="6" t="s">
        <v>212</v>
      </c>
      <c r="E80" s="6"/>
      <c r="F80" s="6"/>
      <c r="G80" s="7"/>
      <c r="H80" s="7"/>
      <c r="I80" s="7"/>
      <c r="J80" s="7"/>
      <c r="K80" s="7"/>
      <c r="L80" s="8"/>
      <c r="M80" s="6"/>
      <c r="N80" s="6"/>
      <c r="O80" s="9"/>
    </row>
    <row r="81">
      <c r="A81" s="6"/>
      <c r="B81" s="7"/>
      <c r="C81" s="6" t="s">
        <v>184</v>
      </c>
      <c r="D81" s="14" t="s">
        <v>213</v>
      </c>
      <c r="E81" s="6"/>
      <c r="F81" s="6"/>
      <c r="G81" s="7"/>
      <c r="H81" s="7"/>
      <c r="I81" s="7"/>
      <c r="J81" s="7"/>
      <c r="K81" s="7"/>
      <c r="L81" s="8"/>
      <c r="M81" s="6"/>
      <c r="N81" s="6"/>
      <c r="O81" s="9"/>
    </row>
    <row r="82">
      <c r="A82" s="2" t="s">
        <v>214</v>
      </c>
      <c r="B82" s="3">
        <v>1.0</v>
      </c>
      <c r="C82" s="2" t="s">
        <v>215</v>
      </c>
      <c r="D82" s="2" t="s">
        <v>216</v>
      </c>
      <c r="E82" s="2"/>
      <c r="F82" s="2" t="s">
        <v>217</v>
      </c>
      <c r="G82" s="3" t="s">
        <v>56</v>
      </c>
      <c r="H82" s="3" t="s">
        <v>18</v>
      </c>
      <c r="I82" s="3" t="s">
        <v>18</v>
      </c>
      <c r="J82" s="3" t="s">
        <v>18</v>
      </c>
      <c r="K82" s="3" t="s">
        <v>18</v>
      </c>
      <c r="L82" s="4">
        <f t="shared" ref="L82:L89" si="8">COUNTIF(H82:K82,"Complete")/4</f>
        <v>0.0</v>
      </c>
      <c r="M82" s="2"/>
      <c r="N82" s="2"/>
      <c r="O82" s="5"/>
    </row>
    <row r="83">
      <c r="A83" s="6" t="s">
        <v>218</v>
      </c>
      <c r="B83" s="7">
        <v>2.0</v>
      </c>
      <c r="C83" s="6" t="s">
        <v>215</v>
      </c>
      <c r="D83" s="6" t="s">
        <v>219</v>
      </c>
      <c r="E83" s="6"/>
      <c r="F83" s="6" t="s">
        <v>220</v>
      </c>
      <c r="G83" s="7" t="s">
        <v>56</v>
      </c>
      <c r="H83" s="7" t="s">
        <v>18</v>
      </c>
      <c r="I83" s="7" t="s">
        <v>18</v>
      </c>
      <c r="J83" s="7" t="s">
        <v>18</v>
      </c>
      <c r="K83" s="7" t="s">
        <v>18</v>
      </c>
      <c r="L83" s="8">
        <f t="shared" si="8"/>
        <v>0.0</v>
      </c>
      <c r="M83" s="6"/>
      <c r="N83" s="6"/>
      <c r="O83" s="9" t="s">
        <v>148</v>
      </c>
    </row>
    <row r="84">
      <c r="A84" s="6" t="s">
        <v>221</v>
      </c>
      <c r="B84" s="7">
        <v>2.0</v>
      </c>
      <c r="C84" s="6" t="s">
        <v>215</v>
      </c>
      <c r="D84" s="6" t="s">
        <v>222</v>
      </c>
      <c r="E84" s="6"/>
      <c r="F84" s="6" t="s">
        <v>223</v>
      </c>
      <c r="G84" s="7" t="s">
        <v>56</v>
      </c>
      <c r="H84" s="7" t="s">
        <v>18</v>
      </c>
      <c r="I84" s="7" t="s">
        <v>18</v>
      </c>
      <c r="J84" s="7" t="s">
        <v>18</v>
      </c>
      <c r="K84" s="7" t="s">
        <v>18</v>
      </c>
      <c r="L84" s="8">
        <f t="shared" si="8"/>
        <v>0.0</v>
      </c>
      <c r="M84" s="6"/>
      <c r="N84" s="6"/>
      <c r="O84" s="9" t="s">
        <v>148</v>
      </c>
    </row>
    <row r="85">
      <c r="A85" s="6" t="s">
        <v>224</v>
      </c>
      <c r="B85" s="7">
        <v>2.0</v>
      </c>
      <c r="C85" s="6" t="s">
        <v>215</v>
      </c>
      <c r="D85" s="6" t="s">
        <v>225</v>
      </c>
      <c r="E85" s="6"/>
      <c r="F85" s="6" t="s">
        <v>226</v>
      </c>
      <c r="G85" s="7" t="s">
        <v>56</v>
      </c>
      <c r="H85" s="7" t="s">
        <v>18</v>
      </c>
      <c r="I85" s="7" t="s">
        <v>18</v>
      </c>
      <c r="J85" s="7" t="s">
        <v>18</v>
      </c>
      <c r="K85" s="7" t="s">
        <v>18</v>
      </c>
      <c r="L85" s="8">
        <f t="shared" si="8"/>
        <v>0.0</v>
      </c>
      <c r="M85" s="6"/>
      <c r="N85" s="6"/>
      <c r="O85" s="9" t="s">
        <v>148</v>
      </c>
    </row>
    <row r="86">
      <c r="A86" s="6" t="s">
        <v>227</v>
      </c>
      <c r="B86" s="7">
        <v>2.0</v>
      </c>
      <c r="C86" s="6" t="s">
        <v>215</v>
      </c>
      <c r="D86" s="6" t="s">
        <v>228</v>
      </c>
      <c r="E86" s="6"/>
      <c r="F86" s="6" t="s">
        <v>229</v>
      </c>
      <c r="G86" s="7" t="s">
        <v>56</v>
      </c>
      <c r="H86" s="7" t="s">
        <v>18</v>
      </c>
      <c r="I86" s="7" t="s">
        <v>18</v>
      </c>
      <c r="J86" s="7" t="s">
        <v>18</v>
      </c>
      <c r="K86" s="7" t="s">
        <v>18</v>
      </c>
      <c r="L86" s="8">
        <f t="shared" si="8"/>
        <v>0.0</v>
      </c>
      <c r="M86" s="6"/>
      <c r="N86" s="6"/>
      <c r="O86" s="9" t="s">
        <v>148</v>
      </c>
    </row>
    <row r="87">
      <c r="A87" s="6" t="s">
        <v>230</v>
      </c>
      <c r="B87" s="7">
        <v>2.0</v>
      </c>
      <c r="C87" s="6" t="s">
        <v>215</v>
      </c>
      <c r="D87" s="6" t="s">
        <v>231</v>
      </c>
      <c r="E87" s="6"/>
      <c r="F87" s="6" t="s">
        <v>232</v>
      </c>
      <c r="G87" s="7" t="s">
        <v>56</v>
      </c>
      <c r="H87" s="7" t="s">
        <v>18</v>
      </c>
      <c r="I87" s="7" t="s">
        <v>18</v>
      </c>
      <c r="J87" s="7" t="s">
        <v>18</v>
      </c>
      <c r="K87" s="7" t="s">
        <v>18</v>
      </c>
      <c r="L87" s="8">
        <f t="shared" si="8"/>
        <v>0.0</v>
      </c>
      <c r="M87" s="6"/>
      <c r="N87" s="6"/>
      <c r="O87" s="9" t="s">
        <v>148</v>
      </c>
    </row>
    <row r="88">
      <c r="A88" s="6" t="s">
        <v>233</v>
      </c>
      <c r="B88" s="7">
        <v>2.0</v>
      </c>
      <c r="C88" s="6" t="s">
        <v>215</v>
      </c>
      <c r="D88" s="6" t="s">
        <v>234</v>
      </c>
      <c r="E88" s="6"/>
      <c r="F88" s="6" t="s">
        <v>235</v>
      </c>
      <c r="G88" s="7" t="s">
        <v>56</v>
      </c>
      <c r="H88" s="7" t="s">
        <v>18</v>
      </c>
      <c r="I88" s="7" t="s">
        <v>18</v>
      </c>
      <c r="J88" s="7" t="s">
        <v>18</v>
      </c>
      <c r="K88" s="7" t="s">
        <v>18</v>
      </c>
      <c r="L88" s="8">
        <f t="shared" si="8"/>
        <v>0.0</v>
      </c>
      <c r="M88" s="6"/>
      <c r="N88" s="6"/>
      <c r="O88" s="9" t="s">
        <v>148</v>
      </c>
    </row>
    <row r="89">
      <c r="A89" s="6" t="s">
        <v>236</v>
      </c>
      <c r="B89" s="7">
        <v>2.0</v>
      </c>
      <c r="C89" s="6" t="s">
        <v>215</v>
      </c>
      <c r="D89" s="6" t="s">
        <v>237</v>
      </c>
      <c r="E89" s="6"/>
      <c r="F89" s="6" t="s">
        <v>238</v>
      </c>
      <c r="G89" s="7" t="s">
        <v>56</v>
      </c>
      <c r="H89" s="7" t="s">
        <v>18</v>
      </c>
      <c r="I89" s="7" t="s">
        <v>18</v>
      </c>
      <c r="J89" s="7" t="s">
        <v>18</v>
      </c>
      <c r="K89" s="7" t="s">
        <v>18</v>
      </c>
      <c r="L89" s="8">
        <f t="shared" si="8"/>
        <v>0.0</v>
      </c>
      <c r="M89" s="6"/>
      <c r="N89" s="6"/>
      <c r="O89" s="9" t="s">
        <v>148</v>
      </c>
    </row>
    <row r="90">
      <c r="A90" s="6"/>
      <c r="B90" s="7"/>
      <c r="C90" s="6" t="s">
        <v>215</v>
      </c>
      <c r="D90" s="6" t="s">
        <v>239</v>
      </c>
      <c r="E90" s="6"/>
      <c r="F90" s="6"/>
      <c r="G90" s="7"/>
      <c r="H90" s="7"/>
      <c r="I90" s="7"/>
      <c r="J90" s="7"/>
      <c r="K90" s="7"/>
      <c r="L90" s="8"/>
      <c r="M90" s="6"/>
      <c r="N90" s="6"/>
      <c r="O90" s="9"/>
    </row>
    <row r="91">
      <c r="A91" s="6"/>
      <c r="B91" s="7"/>
      <c r="C91" s="6" t="s">
        <v>215</v>
      </c>
      <c r="D91" s="6" t="s">
        <v>240</v>
      </c>
      <c r="E91" s="6"/>
      <c r="F91" s="6"/>
      <c r="G91" s="7"/>
      <c r="H91" s="7"/>
      <c r="I91" s="7"/>
      <c r="J91" s="7"/>
      <c r="K91" s="7"/>
      <c r="L91" s="8"/>
      <c r="M91" s="6"/>
      <c r="N91" s="6"/>
      <c r="O91" s="9"/>
    </row>
    <row r="92">
      <c r="A92" s="6"/>
      <c r="B92" s="7"/>
      <c r="C92" s="6"/>
      <c r="D92" s="6" t="s">
        <v>241</v>
      </c>
      <c r="E92" s="6"/>
      <c r="F92" s="6"/>
      <c r="G92" s="7"/>
      <c r="H92" s="7"/>
      <c r="I92" s="7"/>
      <c r="J92" s="7"/>
      <c r="K92" s="7"/>
      <c r="L92" s="8"/>
      <c r="M92" s="6"/>
      <c r="N92" s="6"/>
      <c r="O92" s="9"/>
    </row>
    <row r="93">
      <c r="A93" s="2" t="s">
        <v>242</v>
      </c>
      <c r="B93" s="3">
        <v>1.0</v>
      </c>
      <c r="C93" s="2" t="s">
        <v>243</v>
      </c>
      <c r="D93" s="2" t="s">
        <v>244</v>
      </c>
      <c r="E93" s="2" t="s">
        <v>245</v>
      </c>
      <c r="F93" s="2" t="s">
        <v>246</v>
      </c>
      <c r="G93" s="3" t="s">
        <v>17</v>
      </c>
      <c r="H93" s="3" t="s">
        <v>18</v>
      </c>
      <c r="I93" s="3" t="s">
        <v>18</v>
      </c>
      <c r="J93" s="3" t="s">
        <v>18</v>
      </c>
      <c r="K93" s="3" t="s">
        <v>18</v>
      </c>
      <c r="L93" s="4">
        <f t="shared" ref="L93:L99" si="9">COUNTIF(H93:K93,"Complete")/4</f>
        <v>0.0</v>
      </c>
      <c r="M93" s="2"/>
      <c r="N93" s="2"/>
      <c r="O93" s="5" t="s">
        <v>247</v>
      </c>
    </row>
    <row r="94">
      <c r="A94" s="2" t="s">
        <v>248</v>
      </c>
      <c r="B94" s="3">
        <v>1.0</v>
      </c>
      <c r="C94" s="2" t="s">
        <v>243</v>
      </c>
      <c r="D94" s="2" t="s">
        <v>249</v>
      </c>
      <c r="E94" s="2" t="s">
        <v>245</v>
      </c>
      <c r="F94" s="2" t="s">
        <v>250</v>
      </c>
      <c r="G94" s="3" t="s">
        <v>17</v>
      </c>
      <c r="H94" s="3" t="s">
        <v>18</v>
      </c>
      <c r="I94" s="3" t="s">
        <v>18</v>
      </c>
      <c r="J94" s="3" t="s">
        <v>18</v>
      </c>
      <c r="K94" s="3" t="s">
        <v>18</v>
      </c>
      <c r="L94" s="4">
        <f t="shared" si="9"/>
        <v>0.0</v>
      </c>
      <c r="M94" s="2"/>
      <c r="N94" s="2"/>
      <c r="O94" s="5" t="s">
        <v>251</v>
      </c>
    </row>
    <row r="95">
      <c r="A95" s="2" t="s">
        <v>252</v>
      </c>
      <c r="B95" s="3">
        <v>1.0</v>
      </c>
      <c r="C95" s="2" t="s">
        <v>243</v>
      </c>
      <c r="D95" s="2" t="s">
        <v>253</v>
      </c>
      <c r="E95" s="2" t="s">
        <v>254</v>
      </c>
      <c r="F95" s="2" t="s">
        <v>255</v>
      </c>
      <c r="G95" s="3" t="s">
        <v>56</v>
      </c>
      <c r="H95" s="3" t="s">
        <v>18</v>
      </c>
      <c r="I95" s="3" t="s">
        <v>18</v>
      </c>
      <c r="J95" s="3" t="s">
        <v>18</v>
      </c>
      <c r="K95" s="3" t="s">
        <v>18</v>
      </c>
      <c r="L95" s="4">
        <f t="shared" si="9"/>
        <v>0.0</v>
      </c>
      <c r="M95" s="2"/>
      <c r="N95" s="2"/>
      <c r="O95" s="5" t="s">
        <v>256</v>
      </c>
    </row>
    <row r="96">
      <c r="A96" s="2" t="s">
        <v>257</v>
      </c>
      <c r="B96" s="3">
        <v>1.0</v>
      </c>
      <c r="C96" s="2" t="s">
        <v>258</v>
      </c>
      <c r="D96" s="2" t="s">
        <v>259</v>
      </c>
      <c r="E96" s="2"/>
      <c r="F96" s="2" t="s">
        <v>260</v>
      </c>
      <c r="G96" s="3" t="s">
        <v>27</v>
      </c>
      <c r="H96" s="3" t="s">
        <v>18</v>
      </c>
      <c r="I96" s="3" t="s">
        <v>18</v>
      </c>
      <c r="J96" s="3" t="s">
        <v>18</v>
      </c>
      <c r="K96" s="3" t="s">
        <v>18</v>
      </c>
      <c r="L96" s="4">
        <f t="shared" si="9"/>
        <v>0.0</v>
      </c>
      <c r="M96" s="2"/>
      <c r="N96" s="2"/>
      <c r="O96" s="5" t="s">
        <v>261</v>
      </c>
    </row>
    <row r="97">
      <c r="A97" s="2" t="s">
        <v>262</v>
      </c>
      <c r="B97" s="3">
        <v>1.0</v>
      </c>
      <c r="C97" s="2" t="s">
        <v>258</v>
      </c>
      <c r="D97" s="2" t="s">
        <v>263</v>
      </c>
      <c r="E97" s="2"/>
      <c r="F97" s="2" t="s">
        <v>264</v>
      </c>
      <c r="G97" s="3" t="s">
        <v>27</v>
      </c>
      <c r="H97" s="3" t="s">
        <v>18</v>
      </c>
      <c r="I97" s="3" t="s">
        <v>18</v>
      </c>
      <c r="J97" s="3" t="s">
        <v>18</v>
      </c>
      <c r="K97" s="3" t="s">
        <v>18</v>
      </c>
      <c r="L97" s="4">
        <f t="shared" si="9"/>
        <v>0.0</v>
      </c>
      <c r="M97" s="2"/>
      <c r="N97" s="2"/>
      <c r="O97" s="5" t="s">
        <v>261</v>
      </c>
    </row>
    <row r="98">
      <c r="A98" s="2" t="s">
        <v>265</v>
      </c>
      <c r="B98" s="3">
        <v>1.0</v>
      </c>
      <c r="C98" s="2" t="s">
        <v>258</v>
      </c>
      <c r="D98" s="2" t="s">
        <v>266</v>
      </c>
      <c r="E98" s="2"/>
      <c r="F98" s="2" t="s">
        <v>267</v>
      </c>
      <c r="G98" s="3" t="s">
        <v>27</v>
      </c>
      <c r="H98" s="3" t="s">
        <v>18</v>
      </c>
      <c r="I98" s="3" t="s">
        <v>18</v>
      </c>
      <c r="J98" s="3" t="s">
        <v>18</v>
      </c>
      <c r="K98" s="3" t="s">
        <v>18</v>
      </c>
      <c r="L98" s="4">
        <f t="shared" si="9"/>
        <v>0.0</v>
      </c>
      <c r="M98" s="2"/>
      <c r="N98" s="2"/>
      <c r="O98" s="5" t="s">
        <v>261</v>
      </c>
    </row>
    <row r="99">
      <c r="A99" s="2" t="s">
        <v>268</v>
      </c>
      <c r="B99" s="3">
        <v>1.0</v>
      </c>
      <c r="C99" s="2" t="s">
        <v>258</v>
      </c>
      <c r="D99" s="2" t="s">
        <v>269</v>
      </c>
      <c r="E99" s="2"/>
      <c r="F99" s="2" t="s">
        <v>270</v>
      </c>
      <c r="G99" s="3" t="s">
        <v>27</v>
      </c>
      <c r="H99" s="3" t="s">
        <v>18</v>
      </c>
      <c r="I99" s="3" t="s">
        <v>18</v>
      </c>
      <c r="J99" s="3" t="s">
        <v>18</v>
      </c>
      <c r="K99" s="3" t="s">
        <v>18</v>
      </c>
      <c r="L99" s="4">
        <f t="shared" si="9"/>
        <v>0.0</v>
      </c>
      <c r="M99" s="2"/>
      <c r="N99" s="2"/>
      <c r="O99" s="5" t="s">
        <v>261</v>
      </c>
    </row>
    <row r="100">
      <c r="D100" s="15" t="s">
        <v>271</v>
      </c>
    </row>
    <row r="101">
      <c r="D101" s="15" t="s">
        <v>272</v>
      </c>
    </row>
    <row r="102">
      <c r="D102" s="15" t="s">
        <v>228</v>
      </c>
    </row>
    <row r="103">
      <c r="D103" s="15" t="s">
        <v>273</v>
      </c>
      <c r="E103" s="16" t="s">
        <v>274</v>
      </c>
    </row>
    <row r="104">
      <c r="D104" s="15" t="s">
        <v>275</v>
      </c>
      <c r="E104" s="17" t="s">
        <v>276</v>
      </c>
    </row>
    <row r="105">
      <c r="D105" s="15" t="s">
        <v>277</v>
      </c>
      <c r="E105" s="16" t="s">
        <v>278</v>
      </c>
    </row>
    <row r="106">
      <c r="D106" s="15" t="s">
        <v>279</v>
      </c>
    </row>
    <row r="107">
      <c r="D107" s="15" t="s">
        <v>280</v>
      </c>
    </row>
    <row r="108">
      <c r="D108" s="15" t="s">
        <v>281</v>
      </c>
    </row>
  </sheetData>
  <autoFilter ref="A1:O99"/>
  <conditionalFormatting sqref="H2:K99">
    <cfRule dxfId="0" operator="equal" type="cellIs" priority="1">
      <formula>"Complete"</formula>
    </cfRule>
  </conditionalFormatting>
  <conditionalFormatting sqref="H2:K99">
    <cfRule dxfId="1" operator="equal" type="cellIs" priority="2">
      <formula>"In progress"</formula>
    </cfRule>
  </conditionalFormatting>
  <conditionalFormatting sqref="H2:K99">
    <cfRule dxfId="2" operator="equal" type="cellIs" priority="3">
      <formula>"Blocked"</formula>
    </cfRule>
  </conditionalFormatting>
  <conditionalFormatting sqref="L2:L99">
    <cfRule priority="4" type="colorScale">
      <colorScale>
        <cfvo type="num" val="0"/>
        <cfvo type="num" val="1"/>
        <color rgb="FFFFFFFF"/>
        <color rgb="FF7CD4A0"/>
      </colorScale>
    </cfRule>
  </conditionalFormatting>
  <dataValidations count="2">
    <dataValidation allowBlank="1" errorTitle="The value you entered is not valid." error="The value entered violates data validation rules set in cell" errorStyle="stop" type="list" sqref="G2:G99">
      <formula1>"P1,P2,P3"</formula1>
    </dataValidation>
    <dataValidation allowBlank="1" errorTitle="The value you entered is not valid." error="The value entered violates data validation rules set in cell" errorStyle="stop" type="list" sqref="H2:K99">
      <formula1>"Not started,In progress,Blocked,Complete"</formula1>
    </dataValidation>
  </dataValidations>
  <hyperlinks>
    <hyperlink ref="E104" r:id="rId1"/>
  </hyperlin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22"/>
  <sheetViews>
    <sheetView workbookViewId="0"/>
  </sheetViews>
  <sheetFormatPr defaultRowHeight="15.0" customHeight="1"/>
  <cols>
    <col min="1" max="1" width="40.01"/>
    <col min="2" max="2" width="96.05"/>
    <col min="3" max="2048" width="8.61"/>
  </cols>
  <sheetData>
    <row r="1" ht="18.0">
      <c r="A1" s="18" t="s">
        <v>282</v>
      </c>
    </row>
    <row r="3">
      <c r="A3" s="19"/>
      <c r="B3" s="20"/>
    </row>
    <row r="4">
      <c r="A4" s="21" t="s">
        <v>283</v>
      </c>
      <c r="B4" s="20"/>
    </row>
    <row r="5">
      <c r="A5" s="19" t="s">
        <v>284</v>
      </c>
      <c r="B5" s="20" t="s">
        <v>285</v>
      </c>
    </row>
    <row r="6">
      <c r="A6" s="19" t="s">
        <v>11</v>
      </c>
      <c r="B6" s="20" t="s">
        <v>286</v>
      </c>
    </row>
    <row r="7">
      <c r="A7" s="19" t="s">
        <v>12</v>
      </c>
      <c r="B7" s="20" t="s">
        <v>287</v>
      </c>
    </row>
    <row r="8">
      <c r="A8" s="19" t="s">
        <v>5</v>
      </c>
      <c r="B8" s="20" t="s">
        <v>288</v>
      </c>
    </row>
    <row r="9">
      <c r="A9" s="19"/>
      <c r="B9" s="20"/>
    </row>
    <row r="10">
      <c r="A10" s="21" t="s">
        <v>289</v>
      </c>
      <c r="B10" s="20"/>
    </row>
    <row r="11" ht="28.0">
      <c r="A11" s="19" t="s">
        <v>10</v>
      </c>
      <c r="B11" s="20" t="s">
        <v>290</v>
      </c>
    </row>
    <row r="12">
      <c r="A12" s="19" t="s">
        <v>291</v>
      </c>
      <c r="B12" s="20" t="s">
        <v>292</v>
      </c>
    </row>
    <row r="13">
      <c r="A13" s="19"/>
      <c r="B13" s="20"/>
    </row>
    <row r="14">
      <c r="A14" s="21" t="s">
        <v>293</v>
      </c>
      <c r="B14" s="20"/>
    </row>
    <row r="15">
      <c r="A15" s="19" t="s">
        <v>294</v>
      </c>
      <c r="B15" s="20" t="s">
        <v>295</v>
      </c>
    </row>
    <row r="16">
      <c r="A16" s="19" t="s">
        <v>296</v>
      </c>
      <c r="B16" s="20" t="s">
        <v>297</v>
      </c>
    </row>
    <row r="17">
      <c r="A17" s="19" t="s">
        <v>298</v>
      </c>
      <c r="B17" s="20" t="s">
        <v>299</v>
      </c>
    </row>
    <row r="18">
      <c r="A18" s="19" t="s">
        <v>300</v>
      </c>
      <c r="B18" s="20" t="s">
        <v>301</v>
      </c>
    </row>
    <row r="19">
      <c r="A19" s="19" t="s">
        <v>302</v>
      </c>
      <c r="B19" s="20" t="s">
        <v>303</v>
      </c>
    </row>
    <row r="20">
      <c r="A20" s="19"/>
      <c r="B20" s="20"/>
    </row>
    <row r="21">
      <c r="A21" s="21" t="s">
        <v>304</v>
      </c>
      <c r="B21" s="20"/>
    </row>
    <row r="22" ht="28.0">
      <c r="A22" s="19" t="s">
        <v>113</v>
      </c>
      <c r="B22" s="20" t="s">
        <v>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40"/>
  <sheetViews>
    <sheetView workbookViewId="0"/>
  </sheetViews>
  <sheetFormatPr defaultRowHeight="15.0" customHeight="1"/>
  <cols>
    <col min="1" max="1" width="45.97"/>
    <col min="2" max="5" width="14.04"/>
    <col min="6" max="2048" width="8.61"/>
  </cols>
  <sheetData>
    <row r="1" ht="19.0">
      <c r="A1" s="22" t="s">
        <v>306</v>
      </c>
      <c r="B1" s="23"/>
      <c r="C1" s="23"/>
      <c r="D1" s="23"/>
      <c r="E1" s="23"/>
    </row>
    <row r="2">
      <c r="A2" s="24" t="s">
        <v>307</v>
      </c>
      <c r="B2" s="23"/>
      <c r="C2" s="23"/>
      <c r="D2" s="23"/>
      <c r="E2" s="23"/>
    </row>
    <row r="3">
      <c r="A3" s="23"/>
      <c r="B3" s="23"/>
      <c r="C3" s="23"/>
      <c r="D3" s="23"/>
      <c r="E3" s="23"/>
    </row>
    <row r="4" ht="16.0">
      <c r="A4" s="25" t="s">
        <v>308</v>
      </c>
      <c r="B4" s="23"/>
      <c r="C4" s="23"/>
      <c r="D4" s="23"/>
      <c r="E4" s="23"/>
    </row>
    <row r="5">
      <c r="A5" s="26" t="s">
        <v>309</v>
      </c>
      <c r="B5" s="26">
        <f>COUNTA('Progress Tracker'!$D$2:$D$99)</f>
        <v>79.0</v>
      </c>
      <c r="C5" s="23"/>
      <c r="D5" s="23"/>
      <c r="E5" s="23"/>
    </row>
    <row r="6">
      <c r="A6" s="26" t="s">
        <v>310</v>
      </c>
      <c r="B6" s="26">
        <f>COUNTIF('Progress Tracker'!$L$2:$L$99,1)</f>
        <v>0.0</v>
      </c>
      <c r="C6" s="23"/>
      <c r="D6" s="23"/>
      <c r="E6" s="23"/>
    </row>
    <row r="7">
      <c r="A7" s="26" t="s">
        <v>311</v>
      </c>
      <c r="B7" s="26">
        <f>COUNTIFS('Progress Tracker'!$L$2:$L$99,"&gt;0",'Progress Tracker'!$L$2:$L$99,"&lt;1")</f>
        <v>0.0</v>
      </c>
      <c r="C7" s="23"/>
      <c r="D7" s="23"/>
      <c r="E7" s="23"/>
    </row>
    <row r="8">
      <c r="A8" s="26" t="s">
        <v>312</v>
      </c>
      <c r="B8" s="26">
        <f>COUNTIF('Progress Tracker'!$L$2:$L$99,0)</f>
        <v>62.0</v>
      </c>
      <c r="C8" s="23"/>
      <c r="D8" s="23"/>
      <c r="E8" s="23"/>
    </row>
    <row r="9" ht="18.0">
      <c r="A9" s="26" t="s">
        <v>313</v>
      </c>
      <c r="B9" s="27">
        <f>AVERAGE('Progress Tracker'!$L$2:$L$99)</f>
        <v>0.0</v>
      </c>
      <c r="C9" s="23"/>
      <c r="D9" s="23"/>
      <c r="E9" s="23"/>
    </row>
    <row r="10">
      <c r="A10" s="23"/>
      <c r="B10" s="23"/>
      <c r="C10" s="23"/>
      <c r="D10" s="23"/>
      <c r="E10" s="23"/>
    </row>
    <row r="11" ht="16.0">
      <c r="A11" s="25" t="s">
        <v>314</v>
      </c>
      <c r="B11" s="23"/>
      <c r="C11" s="23"/>
      <c r="D11" s="23"/>
      <c r="E11" s="23"/>
    </row>
    <row r="12">
      <c r="A12" s="28" t="s">
        <v>315</v>
      </c>
      <c r="B12" s="28" t="s">
        <v>316</v>
      </c>
      <c r="C12" s="28" t="s">
        <v>317</v>
      </c>
      <c r="D12" s="28" t="s">
        <v>318</v>
      </c>
      <c r="E12" s="28" t="s">
        <v>18</v>
      </c>
    </row>
    <row r="13">
      <c r="A13" s="26" t="s">
        <v>6</v>
      </c>
      <c r="B13" s="26">
        <f>COUNTIF('Progress Tracker'!$H$2:$H$99,"Complete")</f>
        <v>0.0</v>
      </c>
      <c r="C13" s="26">
        <f>COUNTIF('Progress Tracker'!$H$2:$H$99,"In progress")</f>
        <v>0.0</v>
      </c>
      <c r="D13" s="26">
        <f>COUNTIF('Progress Tracker'!$H$2:$H$99,"Blocked")</f>
        <v>0.0</v>
      </c>
      <c r="E13" s="26">
        <f>COUNTIF('Progress Tracker'!$H$2:$H$99,"Not started")</f>
        <v>62.0</v>
      </c>
    </row>
    <row r="14">
      <c r="A14" s="26" t="s">
        <v>7</v>
      </c>
      <c r="B14" s="26">
        <f>COUNTIF('Progress Tracker'!$I$2:$I$99,"Complete")</f>
        <v>0.0</v>
      </c>
      <c r="C14" s="26">
        <f>COUNTIF('Progress Tracker'!$I$2:$I$99,"In progress")</f>
        <v>0.0</v>
      </c>
      <c r="D14" s="26">
        <f>COUNTIF('Progress Tracker'!$I$2:$I$99,"Blocked")</f>
        <v>0.0</v>
      </c>
      <c r="E14" s="26">
        <f>COUNTIF('Progress Tracker'!$I$2:$I$99,"Not started")</f>
        <v>62.0</v>
      </c>
    </row>
    <row r="15">
      <c r="A15" s="26" t="s">
        <v>8</v>
      </c>
      <c r="B15" s="26">
        <f>COUNTIF('Progress Tracker'!$J$2:$J$99,"Complete")</f>
        <v>0.0</v>
      </c>
      <c r="C15" s="26">
        <f>COUNTIF('Progress Tracker'!$J$2:$J$99,"In progress")</f>
        <v>0.0</v>
      </c>
      <c r="D15" s="26">
        <f>COUNTIF('Progress Tracker'!$J$2:$J$99,"Blocked")</f>
        <v>0.0</v>
      </c>
      <c r="E15" s="26">
        <f>COUNTIF('Progress Tracker'!$J$2:$J$99,"Not started")</f>
        <v>62.0</v>
      </c>
    </row>
    <row r="16">
      <c r="A16" s="26" t="s">
        <v>9</v>
      </c>
      <c r="B16" s="26">
        <f>COUNTIF('Progress Tracker'!$K$2:$K$99,"Complete")</f>
        <v>0.0</v>
      </c>
      <c r="C16" s="26">
        <f>COUNTIF('Progress Tracker'!$K$2:$K$99,"In progress")</f>
        <v>0.0</v>
      </c>
      <c r="D16" s="26">
        <f>COUNTIF('Progress Tracker'!$K$2:$K$99,"Blocked")</f>
        <v>0.0</v>
      </c>
      <c r="E16" s="26">
        <f>COUNTIF('Progress Tracker'!$K$2:$K$99,"Not started")</f>
        <v>62.0</v>
      </c>
    </row>
    <row r="17">
      <c r="A17" s="23"/>
      <c r="B17" s="23"/>
      <c r="C17" s="23"/>
      <c r="D17" s="23"/>
      <c r="E17" s="23"/>
    </row>
    <row r="18" ht="16.0">
      <c r="A18" s="25" t="s">
        <v>319</v>
      </c>
      <c r="B18" s="23"/>
      <c r="C18" s="23"/>
      <c r="D18" s="23"/>
      <c r="E18" s="23"/>
    </row>
    <row r="19">
      <c r="A19" s="28" t="s">
        <v>2</v>
      </c>
      <c r="B19" s="28" t="s">
        <v>320</v>
      </c>
      <c r="C19" s="28" t="s">
        <v>316</v>
      </c>
      <c r="D19" s="28" t="s">
        <v>321</v>
      </c>
      <c r="E19" s="23"/>
    </row>
    <row r="20">
      <c r="A20" s="26" t="s">
        <v>15</v>
      </c>
      <c r="B20" s="26">
        <f>COUNTIF('Progress Tracker'!$C$2:$C$99,A20)</f>
        <v>1.0</v>
      </c>
      <c r="C20" s="26">
        <f>COUNTIFS('Progress Tracker'!$C$2:$C$99,A20,'Progress Tracker'!$L$2:$L$99,1)</f>
        <v>0.0</v>
      </c>
      <c r="D20" s="29">
        <f>IFERROR(AVERAGEIF('Progress Tracker'!$C$2:$C$99,A20,'Progress Tracker'!$L$2:$L$99),0)</f>
        <v>0.0</v>
      </c>
      <c r="E20" s="23"/>
    </row>
    <row r="21">
      <c r="A21" s="26" t="s">
        <v>21</v>
      </c>
      <c r="B21" s="26">
        <f>COUNTIF('Progress Tracker'!$C$2:$C$99,A21)</f>
        <v>7.0</v>
      </c>
      <c r="C21" s="26">
        <f>COUNTIFS('Progress Tracker'!$C$2:$C$99,A21,'Progress Tracker'!$L$2:$L$99,1)</f>
        <v>0.0</v>
      </c>
      <c r="D21" s="29">
        <f>IFERROR(AVERAGEIF('Progress Tracker'!$C$2:$C$99,A21,'Progress Tracker'!$L$2:$L$99),0)</f>
        <v>0.0</v>
      </c>
      <c r="E21" s="23"/>
    </row>
    <row r="22">
      <c r="A22" s="26" t="s">
        <v>49</v>
      </c>
      <c r="B22" s="26">
        <f>COUNTIF('Progress Tracker'!$C$2:$C$99,A22)</f>
        <v>7.0</v>
      </c>
      <c r="C22" s="26">
        <f>COUNTIFS('Progress Tracker'!$C$2:$C$99,A22,'Progress Tracker'!$L$2:$L$99,1)</f>
        <v>0.0</v>
      </c>
      <c r="D22" s="29">
        <f>IFERROR(AVERAGEIF('Progress Tracker'!$C$2:$C$99,A22,'Progress Tracker'!$L$2:$L$99),0)</f>
        <v>0.0</v>
      </c>
      <c r="E22" s="23"/>
    </row>
    <row r="23">
      <c r="A23" s="26" t="s">
        <v>76</v>
      </c>
      <c r="B23" s="26">
        <f>COUNTIF('Progress Tracker'!$C$2:$C$99,A23)</f>
        <v>6.0</v>
      </c>
      <c r="C23" s="26">
        <f>COUNTIFS('Progress Tracker'!$C$2:$C$99,A23,'Progress Tracker'!$L$2:$L$99,1)</f>
        <v>0.0</v>
      </c>
      <c r="D23" s="29">
        <f>IFERROR(AVERAGEIF('Progress Tracker'!$C$2:$C$99,A23,'Progress Tracker'!$L$2:$L$99),0)</f>
        <v>0.0</v>
      </c>
      <c r="E23" s="23"/>
    </row>
    <row r="24">
      <c r="A24" s="26" t="s">
        <v>120</v>
      </c>
      <c r="B24" s="26">
        <f>COUNTIF('Progress Tracker'!$C$2:$C$99,A24)</f>
        <v>7.0</v>
      </c>
      <c r="C24" s="26">
        <f>COUNTIFS('Progress Tracker'!$C$2:$C$99,A24,'Progress Tracker'!$L$2:$L$99,1)</f>
        <v>0.0</v>
      </c>
      <c r="D24" s="29">
        <f>IFERROR(AVERAGEIF('Progress Tracker'!$C$2:$C$99,A24,'Progress Tracker'!$L$2:$L$99),0)</f>
        <v>0.0</v>
      </c>
      <c r="E24" s="23"/>
    </row>
    <row r="25">
      <c r="A25" s="26" t="s">
        <v>143</v>
      </c>
      <c r="B25" s="26">
        <f>COUNTIF('Progress Tracker'!$C$2:$C$99,A25)</f>
        <v>20.0</v>
      </c>
      <c r="C25" s="26">
        <f>COUNTIFS('Progress Tracker'!$C$2:$C$99,A25,'Progress Tracker'!$L$2:$L$99,1)</f>
        <v>0.0</v>
      </c>
      <c r="D25" s="29">
        <f>IFERROR(AVERAGEIF('Progress Tracker'!$C$2:$C$99,A25,'Progress Tracker'!$L$2:$L$99),0)</f>
        <v>0.0</v>
      </c>
      <c r="E25" s="23"/>
    </row>
    <row r="26">
      <c r="A26" s="26" t="s">
        <v>184</v>
      </c>
      <c r="B26" s="26">
        <f>COUNTIF('Progress Tracker'!$C$2:$C$99,A26)</f>
        <v>12.0</v>
      </c>
      <c r="C26" s="26">
        <f>COUNTIFS('Progress Tracker'!$C$2:$C$99,A26,'Progress Tracker'!$L$2:$L$99,1)</f>
        <v>0.0</v>
      </c>
      <c r="D26" s="29">
        <f>IFERROR(AVERAGEIF('Progress Tracker'!$C$2:$C$99,A26,'Progress Tracker'!$L$2:$L$99),0)</f>
        <v>0.0</v>
      </c>
      <c r="E26" s="23"/>
    </row>
    <row r="27">
      <c r="A27" s="26" t="s">
        <v>215</v>
      </c>
      <c r="B27" s="26">
        <f>COUNTIF('Progress Tracker'!$C$2:$C$99,A27)</f>
        <v>10.0</v>
      </c>
      <c r="C27" s="26">
        <f>COUNTIFS('Progress Tracker'!$C$2:$C$99,A27,'Progress Tracker'!$L$2:$L$99,1)</f>
        <v>0.0</v>
      </c>
      <c r="D27" s="29">
        <f>IFERROR(AVERAGEIF('Progress Tracker'!$C$2:$C$99,A27,'Progress Tracker'!$L$2:$L$99),0)</f>
        <v>0.0</v>
      </c>
      <c r="E27" s="23"/>
    </row>
    <row r="28">
      <c r="A28" s="26" t="s">
        <v>322</v>
      </c>
      <c r="B28" s="26">
        <f>COUNTIF('Progress Tracker'!$C$2:$C$99,A28)</f>
        <v>0.0</v>
      </c>
      <c r="C28" s="26">
        <f>COUNTIFS('Progress Tracker'!$C$2:$C$99,A28,'Progress Tracker'!$L$2:$L$99,1)</f>
        <v>0.0</v>
      </c>
      <c r="D28" s="29">
        <f>IFERROR(AVERAGEIF('Progress Tracker'!$C$2:$C$99,A28,'Progress Tracker'!$L$2:$L$99),0)</f>
        <v>0.0</v>
      </c>
      <c r="E28" s="23"/>
    </row>
    <row r="29">
      <c r="A29" s="26" t="s">
        <v>243</v>
      </c>
      <c r="B29" s="26">
        <f>COUNTIF('Progress Tracker'!$C$2:$C$99,A29)</f>
        <v>3.0</v>
      </c>
      <c r="C29" s="26">
        <f>COUNTIFS('Progress Tracker'!$C$2:$C$99,A29,'Progress Tracker'!$L$2:$L$99,1)</f>
        <v>0.0</v>
      </c>
      <c r="D29" s="29">
        <f>IFERROR(AVERAGEIF('Progress Tracker'!$C$2:$C$99,A29,'Progress Tracker'!$L$2:$L$99),0)</f>
        <v>0.0</v>
      </c>
      <c r="E29" s="23"/>
    </row>
    <row r="30">
      <c r="A30" s="26" t="s">
        <v>258</v>
      </c>
      <c r="B30" s="26">
        <f>COUNTIF('Progress Tracker'!$C$2:$C$99,A30)</f>
        <v>4.0</v>
      </c>
      <c r="C30" s="26">
        <f>COUNTIFS('Progress Tracker'!$C$2:$C$99,A30,'Progress Tracker'!$L$2:$L$99,1)</f>
        <v>0.0</v>
      </c>
      <c r="D30" s="29">
        <f>IFERROR(AVERAGEIF('Progress Tracker'!$C$2:$C$99,A30,'Progress Tracker'!$L$2:$L$99),0)</f>
        <v>0.0</v>
      </c>
      <c r="E30" s="23"/>
    </row>
    <row r="31">
      <c r="A31" s="23"/>
      <c r="B31" s="23"/>
      <c r="C31" s="23"/>
      <c r="D31" s="23"/>
      <c r="E31" s="23"/>
    </row>
    <row r="32" ht="16.0">
      <c r="A32" s="25" t="s">
        <v>323</v>
      </c>
      <c r="B32" s="23"/>
      <c r="C32" s="23"/>
      <c r="D32" s="23"/>
      <c r="E32" s="23"/>
    </row>
    <row r="33">
      <c r="A33" s="28" t="s">
        <v>5</v>
      </c>
      <c r="B33" s="28" t="s">
        <v>320</v>
      </c>
      <c r="C33" s="28" t="s">
        <v>316</v>
      </c>
      <c r="D33" s="28" t="s">
        <v>321</v>
      </c>
      <c r="E33" s="23"/>
    </row>
    <row r="34">
      <c r="A34" s="26" t="s">
        <v>17</v>
      </c>
      <c r="B34" s="26">
        <f>COUNTIF('Progress Tracker'!$G$2:$G$99,A34)</f>
        <v>8.0</v>
      </c>
      <c r="C34" s="26">
        <f>COUNTIFS('Progress Tracker'!$G$2:$G$99,A34,'Progress Tracker'!$L$2:$L$99,1)</f>
        <v>0.0</v>
      </c>
      <c r="D34" s="29">
        <f>IFERROR(AVERAGEIF('Progress Tracker'!$G$2:$G$99,A34,'Progress Tracker'!$L$2:$L$99),0)</f>
        <v>0.0</v>
      </c>
      <c r="E34" s="23"/>
    </row>
    <row r="35">
      <c r="A35" s="26" t="s">
        <v>27</v>
      </c>
      <c r="B35" s="26">
        <f>COUNTIF('Progress Tracker'!$G$2:$G$99,A35)</f>
        <v>18.0</v>
      </c>
      <c r="C35" s="26">
        <f>COUNTIFS('Progress Tracker'!$G$2:$G$99,A35,'Progress Tracker'!$L$2:$L$99,1)</f>
        <v>0.0</v>
      </c>
      <c r="D35" s="29">
        <f>IFERROR(AVERAGEIF('Progress Tracker'!$G$2:$G$99,A35,'Progress Tracker'!$L$2:$L$99),0)</f>
        <v>0.0</v>
      </c>
      <c r="E35" s="23"/>
    </row>
    <row r="36">
      <c r="A36" s="26" t="s">
        <v>56</v>
      </c>
      <c r="B36" s="26">
        <f>COUNTIF('Progress Tracker'!$G$2:$G$99,A36)</f>
        <v>36.0</v>
      </c>
      <c r="C36" s="26">
        <f>COUNTIFS('Progress Tracker'!$G$2:$G$99,A36,'Progress Tracker'!$L$2:$L$99,1)</f>
        <v>0.0</v>
      </c>
      <c r="D36" s="29">
        <f>IFERROR(AVERAGEIF('Progress Tracker'!$G$2:$G$99,A36,'Progress Tracker'!$L$2:$L$99),0)</f>
        <v>0.0</v>
      </c>
      <c r="E36" s="23"/>
    </row>
    <row r="37">
      <c r="A37" s="23"/>
      <c r="B37" s="23"/>
      <c r="C37" s="23"/>
      <c r="D37" s="23"/>
      <c r="E37" s="23"/>
    </row>
    <row r="38" ht="16.0">
      <c r="A38" s="25" t="s">
        <v>324</v>
      </c>
      <c r="B38" s="23"/>
      <c r="C38" s="23"/>
      <c r="D38" s="23"/>
      <c r="E38" s="23"/>
    </row>
    <row r="39">
      <c r="A39" s="26" t="s">
        <v>325</v>
      </c>
      <c r="B39" s="26">
        <f>COUNTIF('Progress Tracker'!$H$2:$K$99,"Blocked")</f>
        <v>0.0</v>
      </c>
      <c r="C39" s="23"/>
      <c r="D39" s="23"/>
      <c r="E39" s="23"/>
    </row>
    <row r="40">
      <c r="A40" s="24" t="s">
        <v>326</v>
      </c>
      <c r="B40" s="23"/>
      <c r="C40" s="23"/>
      <c r="D40" s="23"/>
      <c r="E40" s="2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2026-08-11T16:03:49Z</dcterms:created>
</cp:coreProperties>
</file>